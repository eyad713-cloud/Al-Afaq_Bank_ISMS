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5.xml" ContentType="application/vnd.openxmlformats-officedocument.spreadsheetml.worksheet+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worksheets/sheet6.xml" ContentType="application/vnd.openxmlformats-officedocument.spreadsheetml.worksheet+xml"/>
  <Override PartName="/xl/tables/table3.xml" ContentType="application/vnd.openxmlformats-officedocument.spreadsheetml.table+xml"/>
  <Override PartName="/xl/pivotCache/pivotCacheRecords3.xml" ContentType="application/vnd.openxmlformats-officedocument.spreadsheetml.pivotCacheRecords+xml"/>
  <Override PartName="/xl/pivotCache/pivotCacheDefinition3.xml" ContentType="application/vnd.openxmlformats-officedocument.spreadsheetml.pivotCacheDefinition+xml"/>
  <Override PartName="/xl/pivotTables/pivotTable3.xml" ContentType="application/vnd.openxmlformats-officedocument.spreadsheetml.pivotTable+xml"/>
  <Override PartName="/xl/worksheets/sheet7.xml" ContentType="application/vnd.openxmlformats-officedocument.spreadsheetml.worksheet+xml"/>
  <Override PartName="/xl/tables/table4.xml" ContentType="application/vnd.openxmlformats-officedocument.spreadsheetml.table+xml"/>
  <Override PartName="/xl/pivotCache/pivotCacheRecords4.xml" ContentType="application/vnd.openxmlformats-officedocument.spreadsheetml.pivotCacheRecords+xml"/>
  <Override PartName="/xl/pivotCache/pivotCacheDefinition4.xml" ContentType="application/vnd.openxmlformats-officedocument.spreadsheetml.pivotCacheDefinition+xml"/>
  <Override PartName="/xl/pivotTables/pivotTable4.xml" ContentType="application/vnd.openxmlformats-officedocument.spreadsheetml.pivotTable+xml"/>
  <Override PartName="/xl/worksheets/sheet8.xml" ContentType="application/vnd.openxmlformats-officedocument.spreadsheetml.worksheet+xml"/>
  <Override PartName="/xl/pivotTables/pivotTable5.xml" ContentType="application/vnd.openxmlformats-officedocument.spreadsheetml.pivotTable+xml"/>
  <Override PartName="/xl/worksheets/sheet9.xml" ContentType="application/vnd.openxmlformats-officedocument.spreadsheetml.worksheet+xml"/>
  <Override PartName="/xl/pivotTables/pivotTable6.xml" ContentType="application/vnd.openxmlformats-officedocument.spreadsheetml.pivotTable+xml"/>
  <Override PartName="/xl/worksheets/sheet10.xml" ContentType="application/vnd.openxmlformats-officedocument.spreadsheetml.worksheet+xml"/>
  <Override PartName="/xl/pivotTables/pivotTable7.xml" ContentType="application/vnd.openxmlformats-officedocument.spreadsheetml.pivotTable+xml"/>
  <Override PartName="/xl/worksheets/sheet11.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Correction Log" sheetId="1" state="visible" r:id="rId1"/>
    <sheet xmlns:r="http://schemas.openxmlformats.org/officeDocument/2006/relationships" name="Assessment Details" sheetId="2" state="visible" r:id="rId2"/>
    <sheet xmlns:r="http://schemas.openxmlformats.org/officeDocument/2006/relationships" name="Risk Assessment" sheetId="3" state="visible" r:id="rId3"/>
    <sheet xmlns:r="http://schemas.openxmlformats.org/officeDocument/2006/relationships" name="Pre-treatment risks" sheetId="4" state="hidden" r:id="rId4"/>
    <sheet xmlns:r="http://schemas.openxmlformats.org/officeDocument/2006/relationships" name="Pre-treat risk levels by owner" sheetId="5" state="hidden" r:id="rId5"/>
    <sheet xmlns:r="http://schemas.openxmlformats.org/officeDocument/2006/relationships" name="Post-treatment risks" sheetId="6" state="hidden" r:id="rId6"/>
    <sheet xmlns:r="http://schemas.openxmlformats.org/officeDocument/2006/relationships" name="Risks by risk level pre &amp; post" sheetId="7" state="hidden" r:id="rId7"/>
    <sheet xmlns:r="http://schemas.openxmlformats.org/officeDocument/2006/relationships" name="Treatment option chosen" sheetId="8" state="hidden" r:id="rId8"/>
    <sheet xmlns:r="http://schemas.openxmlformats.org/officeDocument/2006/relationships" name="Treatment cost " sheetId="9" state="hidden" r:id="rId9"/>
    <sheet xmlns:r="http://schemas.openxmlformats.org/officeDocument/2006/relationships" name="Treatment action owner " sheetId="10" state="hidden" r:id="rId10"/>
    <sheet xmlns:r="http://schemas.openxmlformats.org/officeDocument/2006/relationships" name="Selection Tables" sheetId="11" state="hidden" r:id="rId11"/>
    <sheet xmlns:r="http://schemas.openxmlformats.org/officeDocument/2006/relationships" name="Pivot tables" sheetId="12" state="hidden" r:id="rId12"/>
  </sheets>
  <definedNames>
    <definedName name="NoRisksPre" hidden="0" function="0" vbProcedure="0">'Pivot tables'!$R$10</definedName>
    <definedName name="Slicer_Post_Treatment_Risk_Level" hidden="0" function="0" vbProcedure="0">#N/A</definedName>
    <definedName name="Slicer_Risk_level" hidden="0" function="0" vbProcedure="0">#N/A</definedName>
    <definedName name="Slicer_Risk_Owner" hidden="0" function="0" vbProcedure="0">#N/A</definedName>
    <definedName name="Slicer_Treatment_Action_Owner" hidden="0" function="0" vbProcedure="0">#N/A</definedName>
    <definedName name="Slicer_Treatment_Action_Status" hidden="0" function="0" vbProcedure="0">#N/A</definedName>
    <definedName name="Slicer_Treatment_option_chosen" hidden="0" function="0" vbProcedure="0">#N/A</definedName>
    <definedName name="_xlnm.Print_Titles" localSheetId="2">'Risk Assessment'!$12:$13,'Risk Assessment'!$B:$H</definedName>
    <definedName name="_xlnm.Print_Area" localSheetId="2">'Risk Assessment'!$A$1:$AD$33</definedName>
  </definedNames>
  <calcPr calcId="124519" fullCalcOnLoad="1" refMode="A1" iterate="0" iterateCount="100" iterateDelta="0.0001"/>
  <pivotCaches>
    <pivotCache xmlns:r="http://schemas.openxmlformats.org/officeDocument/2006/relationships" cacheId="1" r:id="rId13"/>
    <pivotCache xmlns:r="http://schemas.openxmlformats.org/officeDocument/2006/relationships" cacheId="2" r:id="rId14"/>
    <pivotCache xmlns:r="http://schemas.openxmlformats.org/officeDocument/2006/relationships" cacheId="3" r:id="rId15"/>
    <pivotCache xmlns:r="http://schemas.openxmlformats.org/officeDocument/2006/relationships" cacheId="4" r:id="rId16"/>
  </pivotCaches>
</workbook>
</file>

<file path=xl/styles.xml><?xml version="1.0" encoding="utf-8"?>
<styleSheet xmlns="http://schemas.openxmlformats.org/spreadsheetml/2006/main">
  <numFmts count="3">
    <numFmt numFmtId="164" formatCode="[$-809]dd\ mmmm\ yyyy;@"/>
    <numFmt numFmtId="165" formatCode="_-* #,##0.00_-;\-* #,##0.00_-;_-* \-??_-;_-@_-"/>
    <numFmt numFmtId="166" formatCode="mmm\-yy"/>
  </numFmts>
  <fonts count="22">
    <font>
      <name val="Calibri"/>
      <charset val="1"/>
      <family val="2"/>
      <color theme="1"/>
      <sz val="11"/>
    </font>
    <font>
      <name val="Arial"/>
      <family val="0"/>
      <sz val="10"/>
    </font>
    <font>
      <name val="Arial"/>
      <family val="0"/>
      <sz val="10"/>
    </font>
    <font>
      <name val="Arial"/>
      <family val="0"/>
      <sz val="10"/>
    </font>
    <font>
      <name val="Calibri"/>
      <charset val="1"/>
      <family val="2"/>
      <b val="1"/>
      <color theme="1"/>
      <sz val="11"/>
    </font>
    <font>
      <name val="Calibri"/>
      <charset val="1"/>
      <family val="2"/>
      <color rgb="FF444444"/>
      <sz val="11"/>
    </font>
    <font>
      <name val="Calibri"/>
      <charset val="1"/>
      <family val="2"/>
      <b val="1"/>
      <color theme="1"/>
      <sz val="16"/>
    </font>
    <font>
      <name val="Calibri"/>
      <charset val="1"/>
      <family val="2"/>
      <b val="1"/>
      <color theme="1"/>
      <sz val="14"/>
    </font>
    <font>
      <name val="Calibri"/>
      <charset val="1"/>
      <family val="2"/>
      <color theme="1"/>
      <sz val="14"/>
    </font>
    <font>
      <name val="Calibri"/>
      <family val="0"/>
      <b val="1"/>
      <color rgb="FF444444"/>
      <sz val="18"/>
    </font>
    <font>
      <name val="Calibri"/>
      <family val="0"/>
      <color rgb="FF444444"/>
      <sz val="12"/>
    </font>
    <font>
      <name val="Calibri"/>
      <charset val="1"/>
      <family val="2"/>
      <b val="1"/>
      <color theme="1"/>
      <sz val="18"/>
    </font>
    <font>
      <name val="Calibri"/>
      <charset val="1"/>
      <family val="2"/>
      <b val="1"/>
      <color theme="0"/>
      <sz val="11"/>
    </font>
    <font>
      <name val="Calibri"/>
      <charset val="1"/>
      <family val="2"/>
      <sz val="11"/>
    </font>
    <font>
      <name val="Arial"/>
      <family val="2"/>
      <sz val="10"/>
    </font>
    <font>
      <name val="Tahoma"/>
      <charset val="1"/>
      <family val="2"/>
      <color rgb="FF000000"/>
      <sz val="9"/>
    </font>
    <font>
      <name val="Calibri"/>
      <charset val="1"/>
      <family val="2"/>
      <b val="1"/>
      <color rgb="FF000000"/>
      <sz val="14"/>
    </font>
    <font>
      <name val="Calibri"/>
      <charset val="1"/>
      <family val="2"/>
      <color theme="0"/>
      <sz val="11"/>
    </font>
    <font>
      <name val="Calibri"/>
      <charset val="1"/>
      <family val="2"/>
      <b val="1"/>
      <color theme="1"/>
      <sz val="12"/>
    </font>
    <font>
      <name val="Calibri"/>
      <charset val="1"/>
      <family val="2"/>
      <color theme="1"/>
      <sz val="12"/>
    </font>
    <font>
      <b val="1"/>
      <sz val="14"/>
    </font>
    <font>
      <b val="1"/>
    </font>
  </fonts>
  <fills count="7">
    <fill>
      <patternFill/>
    </fill>
    <fill>
      <patternFill patternType="gray125"/>
    </fill>
    <fill>
      <patternFill patternType="solid">
        <fgColor theme="2"/>
        <bgColor rgb="FFCCFFFF"/>
      </patternFill>
    </fill>
    <fill>
      <patternFill patternType="solid">
        <fgColor rgb="FFFFFF00"/>
        <bgColor rgb="FFFFFF00"/>
      </patternFill>
    </fill>
    <fill>
      <patternFill patternType="solid">
        <fgColor theme="2" tint="-0.75"/>
        <bgColor rgb="FF444444"/>
      </patternFill>
    </fill>
    <fill>
      <patternFill patternType="solid">
        <fgColor theme="2" tint="-0.5"/>
        <bgColor rgb="FF808080"/>
      </patternFill>
    </fill>
    <fill>
      <patternFill patternType="solid">
        <fgColor rgb="00FFF9C4"/>
        <bgColor rgb="00FFF9C4"/>
      </patternFill>
    </fill>
  </fills>
  <borders count="45">
    <border>
      <left/>
      <right/>
      <top/>
      <bottom/>
      <diagonal/>
    </border>
    <border>
      <left/>
      <right style="thin">
        <color theme="2" tint="-0.5"/>
      </right>
      <top/>
      <bottom/>
      <diagonal/>
    </border>
    <border>
      <left style="thin">
        <color theme="2" tint="-0.5"/>
      </left>
      <right style="thin">
        <color theme="2" tint="-0.5"/>
      </right>
      <top style="thin">
        <color theme="2" tint="-0.5"/>
      </top>
      <bottom style="thin">
        <color theme="2" tint="-0.5"/>
      </bottom>
      <diagonal/>
    </border>
    <border>
      <left style="thin">
        <color theme="2" tint="-0.5"/>
      </left>
      <right style="thin">
        <color theme="2" tint="-0.5"/>
      </right>
      <top/>
      <bottom style="thin">
        <color theme="2" tint="-0.5"/>
      </bottom>
      <diagonal/>
    </border>
    <border>
      <left style="thin">
        <color theme="2" tint="-0.5"/>
      </left>
      <right style="thin">
        <color theme="2" tint="-0.5"/>
      </right>
      <top/>
      <bottom/>
      <diagonal/>
    </border>
    <border>
      <left/>
      <right style="thin">
        <color theme="2" tint="-0.5"/>
      </right>
      <top style="thin">
        <color theme="2" tint="-0.5"/>
      </top>
      <bottom style="thin">
        <color theme="2" tint="-0.5"/>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style="medium"/>
      <right style="thin"/>
      <top style="medium"/>
      <bottom style="thin"/>
      <diagonal/>
    </border>
    <border>
      <left style="thin"/>
      <right style="medium"/>
      <top style="medium"/>
      <bottom style="thin"/>
      <diagonal/>
    </border>
    <border>
      <left style="medium"/>
      <right style="thin"/>
      <top style="thin"/>
      <bottom/>
      <diagonal/>
    </border>
    <border>
      <left style="thin"/>
      <right style="medium"/>
      <top style="thin"/>
      <bottom/>
      <diagonal/>
    </border>
    <border>
      <left style="medium"/>
      <right style="thin"/>
      <top/>
      <bottom/>
      <diagonal/>
    </border>
    <border>
      <left style="thin"/>
      <right style="medium"/>
      <top/>
      <bottom/>
      <diagonal/>
    </border>
    <border>
      <left style="medium"/>
      <right style="thin"/>
      <top/>
      <bottom style="medium"/>
      <diagonal/>
    </border>
    <border>
      <left style="thin"/>
      <right style="medium"/>
      <top/>
      <bottom style="medium"/>
      <diagonal/>
    </border>
    <border>
      <left style="thin"/>
      <right style="thin"/>
      <top style="medium"/>
      <bottom style="thin"/>
      <diagonal/>
    </border>
    <border>
      <left style="thin"/>
      <right style="thin"/>
      <top style="thin"/>
      <bottom/>
      <diagonal/>
    </border>
    <border>
      <left style="thin"/>
      <right style="thin"/>
      <top/>
      <bottom/>
      <diagonal/>
    </border>
    <border>
      <left style="medium"/>
      <right style="thin"/>
      <top/>
      <bottom style="thin"/>
      <diagonal/>
    </border>
    <border>
      <left style="thin"/>
      <right style="thin"/>
      <top/>
      <bottom style="thin"/>
      <diagonal/>
    </border>
    <border>
      <left style="thin"/>
      <right style="medium"/>
      <top/>
      <bottom style="thin"/>
      <diagonal/>
    </border>
    <border>
      <left style="medium"/>
      <right style="thin"/>
      <top style="thin"/>
      <bottom style="medium"/>
      <diagonal/>
    </border>
    <border>
      <left style="thin"/>
      <right style="thin"/>
      <top style="thin"/>
      <bottom style="medium"/>
      <diagonal/>
    </border>
    <border>
      <left style="thin"/>
      <right style="medium"/>
      <top style="thin"/>
      <bottom style="medium"/>
      <diagonal/>
    </border>
    <border>
      <left style="medium"/>
      <right style="thin"/>
      <top style="medium"/>
      <bottom/>
      <diagonal/>
    </border>
    <border>
      <left/>
      <right style="medium"/>
      <top style="medium"/>
      <bottom style="thin"/>
      <diagonal/>
    </border>
    <border>
      <left style="medium"/>
      <right style="thin"/>
      <top style="thin"/>
      <bottom style="thin"/>
      <diagonal/>
    </border>
    <border>
      <left style="thin"/>
      <right/>
      <top/>
      <bottom style="thin"/>
      <diagonal/>
    </border>
    <border>
      <left/>
      <right style="medium"/>
      <top/>
      <bottom style="thin"/>
      <diagonal/>
    </border>
    <border>
      <left style="thin"/>
      <right/>
      <top style="thin"/>
      <bottom/>
      <diagonal/>
    </border>
    <border>
      <left/>
      <right style="medium"/>
      <top style="thin"/>
      <bottom/>
      <diagonal/>
    </border>
    <border>
      <left style="thin"/>
      <right/>
      <top/>
      <bottom/>
      <diagonal/>
    </border>
    <border>
      <left/>
      <right style="medium"/>
      <top/>
      <bottom/>
      <diagonal/>
    </border>
    <border>
      <left style="thin"/>
      <right/>
      <top/>
      <bottom style="medium"/>
      <diagonal/>
    </border>
    <border>
      <left/>
      <right style="medium"/>
      <top/>
      <bottom style="medium"/>
      <diagonal/>
    </border>
    <border>
      <left/>
      <right/>
      <top style="medium"/>
      <bottom style="thin"/>
      <diagonal/>
    </border>
    <border>
      <left/>
      <right/>
      <top/>
      <bottom style="thin"/>
      <diagonal/>
    </border>
    <border>
      <left style="thin"/>
      <right style="medium"/>
      <top style="thin"/>
      <bottom style="thin"/>
      <diagonal/>
    </border>
    <border>
      <left/>
      <right style="thin"/>
      <top style="thin"/>
      <bottom/>
      <diagonal/>
    </border>
    <border>
      <left/>
      <right style="thin"/>
      <top/>
      <bottom/>
      <diagonal/>
    </border>
    <border>
      <left/>
      <right style="thin"/>
      <top/>
      <bottom style="thin"/>
      <diagonal/>
    </border>
    <border>
      <left style="thin"/>
      <right/>
      <top style="thin"/>
      <bottom style="medium"/>
      <diagonal/>
    </border>
    <border>
      <left/>
      <right style="thin"/>
      <top style="thin"/>
      <bottom style="medium"/>
      <diagonal/>
    </border>
  </borders>
  <cellStyleXfs count="12">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left" vertical="bottom"/>
    </xf>
    <xf numFmtId="0" fontId="4" fillId="0" borderId="0" applyAlignment="1">
      <alignment horizontal="left" vertical="bottom"/>
    </xf>
    <xf numFmtId="0" fontId="4" fillId="0" borderId="0" applyAlignment="1">
      <alignment horizontal="general" vertical="bottom"/>
    </xf>
  </cellStyleXfs>
  <cellXfs count="202">
    <xf numFmtId="0" fontId="0" fillId="0" borderId="0" applyAlignment="1" pivotButton="0" quotePrefix="0" xfId="0">
      <alignment horizontal="general" vertical="bottom"/>
    </xf>
    <xf numFmtId="0" fontId="5" fillId="0" borderId="0" applyAlignment="1" pivotButton="0" quotePrefix="0" xfId="0">
      <alignment horizontal="general" vertical="top"/>
    </xf>
    <xf numFmtId="0" fontId="5" fillId="0" borderId="0" applyAlignment="1" pivotButton="0" quotePrefix="0" xfId="0">
      <alignment horizontal="right" vertical="top"/>
    </xf>
    <xf numFmtId="0" fontId="6" fillId="0" borderId="0" applyAlignment="1" pivotButton="0" quotePrefix="0" xfId="0">
      <alignment horizontal="general" vertical="top"/>
    </xf>
    <xf numFmtId="0" fontId="5" fillId="0" borderId="1" applyAlignment="1" pivotButton="0" quotePrefix="0" xfId="0">
      <alignment horizontal="general" vertical="top"/>
    </xf>
    <xf numFmtId="0" fontId="7" fillId="2" borderId="2" applyAlignment="1" pivotButton="0" quotePrefix="0" xfId="0">
      <alignment horizontal="general" vertical="top" wrapText="1"/>
    </xf>
    <xf numFmtId="0" fontId="8" fillId="0" borderId="2" applyAlignment="1" applyProtection="1" pivotButton="0" quotePrefix="0" xfId="0">
      <alignment horizontal="general" vertical="top" wrapText="1"/>
      <protection locked="0" hidden="0"/>
    </xf>
    <xf numFmtId="0" fontId="7" fillId="2" borderId="3" applyAlignment="1" pivotButton="0" quotePrefix="0" xfId="0">
      <alignment horizontal="general" vertical="top" wrapText="1"/>
    </xf>
    <xf numFmtId="0" fontId="8" fillId="0" borderId="3" applyAlignment="1" applyProtection="1" pivotButton="0" quotePrefix="0" xfId="0">
      <alignment horizontal="general" vertical="top" wrapText="1"/>
      <protection locked="0" hidden="0"/>
    </xf>
    <xf numFmtId="0" fontId="7" fillId="2" borderId="4" applyAlignment="1" pivotButton="0" quotePrefix="0" xfId="0">
      <alignment horizontal="general" vertical="top" wrapText="1"/>
    </xf>
    <xf numFmtId="0" fontId="8" fillId="0" borderId="4" applyAlignment="1" applyProtection="1" pivotButton="0" quotePrefix="0" xfId="0">
      <alignment horizontal="general" vertical="top" wrapText="1"/>
      <protection locked="0" hidden="0"/>
    </xf>
    <xf numFmtId="164" fontId="8" fillId="0" borderId="4" applyAlignment="1" applyProtection="1" pivotButton="0" quotePrefix="0" xfId="0">
      <alignment horizontal="general" vertical="top" wrapText="1"/>
      <protection locked="0" hidden="0"/>
    </xf>
    <xf numFmtId="0" fontId="8" fillId="0" borderId="0" applyAlignment="1" pivotButton="0" quotePrefix="0" xfId="0">
      <alignment horizontal="general" vertical="bottom"/>
    </xf>
    <xf numFmtId="0" fontId="8" fillId="0" borderId="5" applyAlignment="1" applyProtection="1" pivotButton="0" quotePrefix="0" xfId="0">
      <alignment horizontal="general" vertical="top" wrapText="1"/>
      <protection locked="0" hidden="0"/>
    </xf>
    <xf numFmtId="0" fontId="0" fillId="0" borderId="0" applyAlignment="1" pivotButton="0" quotePrefix="0" xfId="0">
      <alignment horizontal="general" vertical="top"/>
    </xf>
    <xf numFmtId="0" fontId="0" fillId="0" borderId="0" applyAlignment="1" pivotButton="0" quotePrefix="0" xfId="0">
      <alignment horizontal="center" vertical="top"/>
    </xf>
    <xf numFmtId="0" fontId="11" fillId="0" borderId="0" applyAlignment="1" pivotButton="0" quotePrefix="0" xfId="0">
      <alignment horizontal="left" vertical="top"/>
    </xf>
    <xf numFmtId="0" fontId="0" fillId="0" borderId="0" applyAlignment="1" pivotButton="0" quotePrefix="0" xfId="0">
      <alignment horizontal="left" vertical="top"/>
    </xf>
    <xf numFmtId="0" fontId="0" fillId="3" borderId="0" applyAlignment="1" pivotButton="0" quotePrefix="0" xfId="0">
      <alignment horizontal="general" vertical="top"/>
    </xf>
    <xf numFmtId="0" fontId="0" fillId="3" borderId="0" applyAlignment="1" pivotButton="0" quotePrefix="0" xfId="0">
      <alignment horizontal="center" vertical="top"/>
    </xf>
    <xf numFmtId="0" fontId="4" fillId="0" borderId="0" applyAlignment="1" pivotButton="0" quotePrefix="0" xfId="0">
      <alignment horizontal="left" vertical="top"/>
    </xf>
    <xf numFmtId="0" fontId="0" fillId="0" borderId="0" applyAlignment="1" pivotButton="0" quotePrefix="0" xfId="0">
      <alignment horizontal="left" vertical="top" wrapText="1"/>
    </xf>
    <xf numFmtId="0" fontId="12" fillId="4" borderId="6" applyAlignment="1" pivotButton="0" quotePrefix="0" xfId="0">
      <alignment horizontal="left" vertical="center"/>
    </xf>
    <xf numFmtId="0" fontId="12" fillId="4" borderId="7" applyAlignment="1" pivotButton="0" quotePrefix="0" xfId="0">
      <alignment horizontal="left" vertical="center"/>
    </xf>
    <xf numFmtId="0" fontId="12" fillId="4" borderId="8" applyAlignment="1" pivotButton="0" quotePrefix="0" xfId="0">
      <alignment horizontal="left" vertical="center"/>
    </xf>
    <xf numFmtId="0" fontId="0" fillId="0" borderId="0" applyAlignment="1" pivotButton="0" quotePrefix="0" xfId="0">
      <alignment horizontal="left" vertical="top" wrapText="1"/>
    </xf>
    <xf numFmtId="0" fontId="12" fillId="0" borderId="0" applyAlignment="1" pivotButton="0" quotePrefix="0" xfId="0">
      <alignment horizontal="general" vertical="top"/>
    </xf>
    <xf numFmtId="0" fontId="0" fillId="0" borderId="0" applyAlignment="1" applyProtection="1" pivotButton="0" quotePrefix="0" xfId="0">
      <alignment horizontal="left" vertical="top" wrapText="1"/>
      <protection locked="0" hidden="0"/>
    </xf>
    <xf numFmtId="0" fontId="0" fillId="0" borderId="0" applyAlignment="1" applyProtection="1" pivotButton="0" quotePrefix="0" xfId="0">
      <alignment horizontal="left" vertical="top" wrapText="1"/>
      <protection locked="0" hidden="0"/>
    </xf>
    <xf numFmtId="165" fontId="0" fillId="0" borderId="0" applyAlignment="1" applyProtection="1" pivotButton="0" quotePrefix="0" xfId="0">
      <alignment horizontal="right" vertical="top" wrapText="1"/>
      <protection locked="0" hidden="0"/>
    </xf>
    <xf numFmtId="0" fontId="0" fillId="0" borderId="0" applyAlignment="1" pivotButton="0" quotePrefix="0" xfId="0">
      <alignment horizontal="left" vertical="top" wrapText="1"/>
    </xf>
    <xf numFmtId="0" fontId="0" fillId="0" borderId="0" applyAlignment="1" applyProtection="1" pivotButton="0" quotePrefix="0" xfId="0">
      <alignment horizontal="general" vertical="top" wrapText="1"/>
      <protection locked="0" hidden="0"/>
    </xf>
    <xf numFmtId="0" fontId="13" fillId="0" borderId="0" applyAlignment="1" pivotButton="0" quotePrefix="0" xfId="0">
      <alignment horizontal="general" vertical="top" wrapText="1"/>
    </xf>
    <xf numFmtId="166" fontId="0" fillId="0" borderId="0" applyAlignment="1" applyProtection="1" pivotButton="0" quotePrefix="0" xfId="0">
      <alignment horizontal="left" vertical="top" wrapText="1"/>
      <protection locked="0" hidden="0"/>
    </xf>
    <xf numFmtId="0" fontId="7" fillId="0" borderId="0" applyAlignment="1" pivotButton="0" quotePrefix="0" xfId="0">
      <alignment horizontal="general" vertical="bottom"/>
    </xf>
    <xf numFmtId="0" fontId="12" fillId="5" borderId="0" applyAlignment="1" pivotButton="0" quotePrefix="0" xfId="0">
      <alignment horizontal="general" vertical="bottom"/>
    </xf>
    <xf numFmtId="0" fontId="0" fillId="0" borderId="9" applyAlignment="1" pivotButton="0" quotePrefix="0" xfId="22">
      <alignment horizontal="general" vertical="bottom"/>
    </xf>
    <xf numFmtId="0" fontId="0" fillId="0" borderId="10" applyAlignment="1" pivotButton="0" quotePrefix="0" xfId="20">
      <alignment horizontal="general" vertical="bottom"/>
    </xf>
    <xf numFmtId="0" fontId="0" fillId="0" borderId="11" applyAlignment="1" pivotButton="0" quotePrefix="0" xfId="23">
      <alignment horizontal="left" vertical="bottom"/>
    </xf>
    <xf numFmtId="0" fontId="0" fillId="0" borderId="12" applyAlignment="1" pivotButton="0" quotePrefix="0" xfId="21">
      <alignment horizontal="general" vertical="bottom"/>
    </xf>
    <xf numFmtId="0" fontId="0" fillId="0" borderId="13" applyAlignment="1" pivotButton="0" quotePrefix="0" xfId="23">
      <alignment horizontal="left" vertical="bottom"/>
    </xf>
    <xf numFmtId="0" fontId="0" fillId="0" borderId="14" applyAlignment="1" pivotButton="0" quotePrefix="0" xfId="21">
      <alignment horizontal="general" vertical="bottom"/>
    </xf>
    <xf numFmtId="0" fontId="0" fillId="0" borderId="15" applyAlignment="1" pivotButton="0" quotePrefix="0" xfId="23">
      <alignment horizontal="left" vertical="bottom"/>
    </xf>
    <xf numFmtId="0" fontId="0" fillId="0" borderId="16" applyAlignment="1" pivotButton="0" quotePrefix="0" xfId="21">
      <alignment horizontal="general" vertical="bottom"/>
    </xf>
    <xf numFmtId="0" fontId="0" fillId="0" borderId="17" applyAlignment="1" pivotButton="0" quotePrefix="0" xfId="22">
      <alignment horizontal="general" vertical="bottom"/>
    </xf>
    <xf numFmtId="0" fontId="0" fillId="0" borderId="18" applyAlignment="1" pivotButton="0" quotePrefix="0" xfId="23">
      <alignment horizontal="left" vertical="bottom"/>
    </xf>
    <xf numFmtId="0" fontId="0" fillId="0" borderId="19" applyAlignment="1" pivotButton="0" quotePrefix="0" xfId="23">
      <alignment horizontal="left" vertical="bottom"/>
    </xf>
    <xf numFmtId="0" fontId="0" fillId="0" borderId="20" applyAlignment="1" pivotButton="0" quotePrefix="0" xfId="23">
      <alignment horizontal="left" vertical="bottom"/>
    </xf>
    <xf numFmtId="0" fontId="0" fillId="0" borderId="21" applyAlignment="1" pivotButton="0" quotePrefix="0" xfId="23">
      <alignment horizontal="left" vertical="bottom"/>
    </xf>
    <xf numFmtId="0" fontId="0" fillId="0" borderId="22" applyAlignment="1" pivotButton="0" quotePrefix="0" xfId="21">
      <alignment horizontal="general" vertical="bottom"/>
    </xf>
    <xf numFmtId="0" fontId="0" fillId="0" borderId="23" applyAlignment="1" pivotButton="0" quotePrefix="0" xfId="23">
      <alignment horizontal="left" vertical="bottom"/>
    </xf>
    <xf numFmtId="0" fontId="0" fillId="0" borderId="24" applyAlignment="1" pivotButton="0" quotePrefix="0" xfId="23">
      <alignment horizontal="left" vertical="bottom"/>
    </xf>
    <xf numFmtId="0" fontId="0" fillId="0" borderId="25" applyAlignment="1" pivotButton="0" quotePrefix="0" xfId="21">
      <alignment horizontal="general" vertical="bottom"/>
    </xf>
    <xf numFmtId="0" fontId="16" fillId="0" borderId="0" applyAlignment="1" pivotButton="0" quotePrefix="0" xfId="0">
      <alignment horizontal="left" vertical="top" readingOrder="1"/>
    </xf>
    <xf numFmtId="0" fontId="0" fillId="0" borderId="26" applyAlignment="1" pivotButton="0" quotePrefix="0" xfId="20">
      <alignment horizontal="general" vertical="bottom"/>
    </xf>
    <xf numFmtId="0" fontId="0" fillId="0" borderId="27" applyAlignment="1" pivotButton="0" quotePrefix="0" xfId="20">
      <alignment horizontal="general" vertical="bottom"/>
    </xf>
    <xf numFmtId="0" fontId="0" fillId="0" borderId="28" applyAlignment="1" pivotButton="0" quotePrefix="0" xfId="22">
      <alignment horizontal="general" vertical="bottom"/>
    </xf>
    <xf numFmtId="0" fontId="0" fillId="0" borderId="29" applyAlignment="1" pivotButton="0" quotePrefix="0" xfId="23">
      <alignment horizontal="left" vertical="bottom"/>
    </xf>
    <xf numFmtId="0" fontId="0" fillId="0" borderId="30" applyAlignment="1" pivotButton="0" quotePrefix="0" xfId="23">
      <alignment horizontal="left" vertical="bottom"/>
    </xf>
    <xf numFmtId="0" fontId="0" fillId="0" borderId="31" applyAlignment="1" pivotButton="0" quotePrefix="0" xfId="21">
      <alignment horizontal="general" vertical="bottom"/>
    </xf>
    <xf numFmtId="0" fontId="0" fillId="0" borderId="32" applyAlignment="1" pivotButton="0" quotePrefix="0" xfId="21">
      <alignment horizontal="general" vertical="bottom"/>
    </xf>
    <xf numFmtId="0" fontId="0" fillId="0" borderId="33" applyAlignment="1" pivotButton="0" quotePrefix="0" xfId="21">
      <alignment horizontal="general" vertical="bottom"/>
    </xf>
    <xf numFmtId="0" fontId="0" fillId="0" borderId="34" applyAlignment="1" pivotButton="0" quotePrefix="0" xfId="21">
      <alignment horizontal="general" vertical="bottom"/>
    </xf>
    <xf numFmtId="0" fontId="0" fillId="0" borderId="35" applyAlignment="1" pivotButton="0" quotePrefix="0" xfId="21">
      <alignment horizontal="general" vertical="bottom"/>
    </xf>
    <xf numFmtId="0" fontId="0" fillId="0" borderId="36" applyAlignment="1" pivotButton="0" quotePrefix="0" xfId="21">
      <alignment horizontal="general" vertical="bottom"/>
    </xf>
    <xf numFmtId="165" fontId="0" fillId="0" borderId="12" applyAlignment="1" pivotButton="0" quotePrefix="0" xfId="21">
      <alignment horizontal="general" vertical="bottom"/>
    </xf>
    <xf numFmtId="165" fontId="0" fillId="0" borderId="16" applyAlignment="1" pivotButton="0" quotePrefix="0" xfId="21">
      <alignment horizontal="general" vertical="bottom"/>
    </xf>
    <xf numFmtId="0" fontId="0" fillId="0" borderId="31" applyAlignment="1" pivotButton="0" quotePrefix="0" xfId="21">
      <alignment horizontal="general" vertical="bottom"/>
    </xf>
    <xf numFmtId="0" fontId="0" fillId="0" borderId="32" applyAlignment="1" pivotButton="0" quotePrefix="0" xfId="21">
      <alignment horizontal="general" vertical="bottom"/>
    </xf>
    <xf numFmtId="0" fontId="0" fillId="0" borderId="33" applyAlignment="1" pivotButton="0" quotePrefix="0" xfId="21">
      <alignment horizontal="general" vertical="bottom"/>
    </xf>
    <xf numFmtId="0" fontId="0" fillId="0" borderId="34" applyAlignment="1" pivotButton="0" quotePrefix="0" xfId="21">
      <alignment horizontal="general" vertical="bottom"/>
    </xf>
    <xf numFmtId="0" fontId="0" fillId="0" borderId="35" applyAlignment="1" pivotButton="0" quotePrefix="0" xfId="21">
      <alignment horizontal="general" vertical="bottom"/>
    </xf>
    <xf numFmtId="0" fontId="0" fillId="0" borderId="36" applyAlignment="1" pivotButton="0" quotePrefix="0" xfId="21">
      <alignment horizontal="general" vertical="bottom"/>
    </xf>
    <xf numFmtId="0" fontId="6" fillId="0" borderId="0" applyAlignment="1" pivotButton="0" quotePrefix="0" xfId="0">
      <alignment horizontal="general" vertical="bottom"/>
    </xf>
    <xf numFmtId="0" fontId="17" fillId="5" borderId="0" applyAlignment="1" pivotButton="0" quotePrefix="0" xfId="0">
      <alignment horizontal="left" vertical="bottom"/>
    </xf>
    <xf numFmtId="0" fontId="17" fillId="0" borderId="0" applyAlignment="1" pivotButton="0" quotePrefix="0" xfId="0">
      <alignment horizontal="left" vertical="bottom"/>
    </xf>
    <xf numFmtId="0" fontId="17" fillId="5" borderId="0" applyAlignment="1" pivotButton="0" quotePrefix="0" xfId="0">
      <alignment horizontal="general" vertical="bottom"/>
    </xf>
    <xf numFmtId="0" fontId="18" fillId="0" borderId="0" applyAlignment="1" pivotButton="0" quotePrefix="0" xfId="0">
      <alignment horizontal="general" vertical="bottom"/>
    </xf>
    <xf numFmtId="0" fontId="0" fillId="0" borderId="0" applyAlignment="1" pivotButton="0" quotePrefix="0" xfId="0">
      <alignment horizontal="left" vertical="bottom"/>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17" fillId="0" borderId="0" applyAlignment="1" pivotButton="0" quotePrefix="0" xfId="0">
      <alignment horizontal="general" vertical="bottom"/>
    </xf>
    <xf numFmtId="0" fontId="4" fillId="0" borderId="0" applyAlignment="1" pivotButton="0" quotePrefix="0" xfId="0">
      <alignment horizontal="general" vertical="bottom"/>
    </xf>
    <xf numFmtId="0" fontId="4" fillId="0" borderId="0" applyAlignment="1" pivotButton="0" quotePrefix="0" xfId="0">
      <alignment horizontal="left" vertical="bottom"/>
    </xf>
    <xf numFmtId="0" fontId="17" fillId="0" borderId="0" applyAlignment="1" pivotButton="0" quotePrefix="0" xfId="0">
      <alignment horizontal="right" vertical="bottom"/>
    </xf>
    <xf numFmtId="0" fontId="19" fillId="0" borderId="0" applyAlignment="1" pivotButton="0" quotePrefix="0" xfId="0">
      <alignment horizontal="general" vertical="bottom"/>
    </xf>
    <xf numFmtId="0" fontId="0" fillId="0" borderId="37" applyAlignment="1" pivotButton="0" quotePrefix="0" xfId="20">
      <alignment horizontal="general" vertical="bottom"/>
    </xf>
    <xf numFmtId="0" fontId="0" fillId="0" borderId="38" applyAlignment="1" pivotButton="0" quotePrefix="0" xfId="23">
      <alignment horizontal="left" vertical="bottom"/>
    </xf>
    <xf numFmtId="0" fontId="4" fillId="0" borderId="39" applyAlignment="1" pivotButton="0" quotePrefix="0" xfId="24">
      <alignment horizontal="left" vertical="bottom"/>
    </xf>
    <xf numFmtId="0" fontId="0" fillId="0" borderId="39" applyAlignment="1" pivotButton="0" quotePrefix="0" xfId="21">
      <alignment horizontal="general" vertical="bottom"/>
    </xf>
    <xf numFmtId="0" fontId="0" fillId="0" borderId="40" applyAlignment="1" pivotButton="0" quotePrefix="0" xfId="21">
      <alignment horizontal="general" vertical="bottom"/>
    </xf>
    <xf numFmtId="0" fontId="4" fillId="0" borderId="12" applyAlignment="1" pivotButton="0" quotePrefix="0" xfId="25">
      <alignment horizontal="general" vertical="bottom"/>
    </xf>
    <xf numFmtId="0" fontId="4" fillId="0" borderId="23" applyAlignment="1" pivotButton="0" quotePrefix="0" xfId="24">
      <alignment horizontal="left" vertical="bottom"/>
    </xf>
    <xf numFmtId="0" fontId="4" fillId="0" borderId="25" applyAlignment="1" pivotButton="0" quotePrefix="0" xfId="25">
      <alignment horizontal="general" vertical="bottom"/>
    </xf>
    <xf numFmtId="0" fontId="0" fillId="0" borderId="41" applyAlignment="1" pivotButton="0" quotePrefix="0" xfId="21">
      <alignment horizontal="general" vertical="bottom"/>
    </xf>
    <xf numFmtId="0" fontId="4" fillId="0" borderId="14" applyAlignment="1" pivotButton="0" quotePrefix="0" xfId="25">
      <alignment horizontal="general" vertical="bottom"/>
    </xf>
    <xf numFmtId="0" fontId="0" fillId="0" borderId="29" applyAlignment="1" pivotButton="0" quotePrefix="0" xfId="21">
      <alignment horizontal="general" vertical="bottom"/>
    </xf>
    <xf numFmtId="0" fontId="0" fillId="0" borderId="42" applyAlignment="1" pivotButton="0" quotePrefix="0" xfId="21">
      <alignment horizontal="general" vertical="bottom"/>
    </xf>
    <xf numFmtId="0" fontId="4" fillId="0" borderId="22" applyAlignment="1" pivotButton="0" quotePrefix="0" xfId="25">
      <alignment horizontal="general" vertical="bottom"/>
    </xf>
    <xf numFmtId="0" fontId="4" fillId="0" borderId="43" applyAlignment="1" pivotButton="0" quotePrefix="0" xfId="25">
      <alignment horizontal="general" vertical="bottom"/>
    </xf>
    <xf numFmtId="0" fontId="4" fillId="0" borderId="44" applyAlignment="1" pivotButton="0" quotePrefix="0" xfId="25">
      <alignment horizontal="general" vertical="bottom"/>
    </xf>
    <xf numFmtId="165" fontId="0" fillId="0" borderId="22" applyAlignment="1" pivotButton="0" quotePrefix="0" xfId="21">
      <alignment horizontal="general" vertical="bottom"/>
    </xf>
    <xf numFmtId="165" fontId="4" fillId="0" borderId="25" applyAlignment="1" pivotButton="0" quotePrefix="0" xfId="25">
      <alignment horizontal="general" vertical="bottom"/>
    </xf>
    <xf numFmtId="0" fontId="5" fillId="0" borderId="0" applyAlignment="1" pivotButton="0" quotePrefix="0" xfId="0">
      <alignment horizontal="general" vertical="top"/>
    </xf>
    <xf numFmtId="0" fontId="0" fillId="0" borderId="0" pivotButton="0" quotePrefix="0" xfId="0"/>
    <xf numFmtId="0" fontId="5" fillId="0" borderId="0" applyAlignment="1" pivotButton="0" quotePrefix="0" xfId="0">
      <alignment horizontal="right" vertical="top"/>
    </xf>
    <xf numFmtId="0" fontId="6" fillId="0" borderId="0" applyAlignment="1" pivotButton="0" quotePrefix="0" xfId="0">
      <alignment horizontal="general" vertical="top"/>
    </xf>
    <xf numFmtId="0" fontId="5" fillId="0" borderId="1" applyAlignment="1" pivotButton="0" quotePrefix="0" xfId="0">
      <alignment horizontal="general" vertical="top"/>
    </xf>
    <xf numFmtId="0" fontId="7" fillId="2" borderId="2" applyAlignment="1" pivotButton="0" quotePrefix="0" xfId="0">
      <alignment horizontal="general" vertical="top" wrapText="1"/>
    </xf>
    <xf numFmtId="0" fontId="8" fillId="0" borderId="2" applyAlignment="1" applyProtection="1" pivotButton="0" quotePrefix="0" xfId="0">
      <alignment horizontal="general" vertical="top" wrapText="1"/>
      <protection locked="0" hidden="0"/>
    </xf>
    <xf numFmtId="0" fontId="7" fillId="2" borderId="3" applyAlignment="1" pivotButton="0" quotePrefix="0" xfId="0">
      <alignment horizontal="general" vertical="top" wrapText="1"/>
    </xf>
    <xf numFmtId="0" fontId="8" fillId="0" borderId="3" applyAlignment="1" applyProtection="1" pivotButton="0" quotePrefix="0" xfId="0">
      <alignment horizontal="general" vertical="top" wrapText="1"/>
      <protection locked="0" hidden="0"/>
    </xf>
    <xf numFmtId="0" fontId="7" fillId="2" borderId="4" applyAlignment="1" pivotButton="0" quotePrefix="0" xfId="0">
      <alignment horizontal="general" vertical="top" wrapText="1"/>
    </xf>
    <xf numFmtId="0" fontId="8" fillId="0" borderId="4" applyAlignment="1" applyProtection="1" pivotButton="0" quotePrefix="0" xfId="0">
      <alignment horizontal="general" vertical="top" wrapText="1"/>
      <protection locked="0" hidden="0"/>
    </xf>
    <xf numFmtId="164" fontId="8" fillId="0" borderId="4" applyAlignment="1" applyProtection="1" pivotButton="0" quotePrefix="0" xfId="0">
      <alignment horizontal="general" vertical="top" wrapText="1"/>
      <protection locked="0" hidden="0"/>
    </xf>
    <xf numFmtId="0" fontId="8" fillId="0" borderId="0" applyAlignment="1" pivotButton="0" quotePrefix="0" xfId="0">
      <alignment horizontal="general" vertical="bottom"/>
    </xf>
    <xf numFmtId="0" fontId="8" fillId="0" borderId="5" applyAlignment="1" applyProtection="1" pivotButton="0" quotePrefix="0" xfId="0">
      <alignment horizontal="general" vertical="top" wrapText="1"/>
      <protection locked="0" hidden="0"/>
    </xf>
    <xf numFmtId="0" fontId="0" fillId="0" borderId="0" applyAlignment="1" pivotButton="0" quotePrefix="0" xfId="0">
      <alignment horizontal="general" vertical="top"/>
    </xf>
    <xf numFmtId="0" fontId="0" fillId="0" borderId="0" applyAlignment="1" pivotButton="0" quotePrefix="0" xfId="0">
      <alignment horizontal="center" vertical="top"/>
    </xf>
    <xf numFmtId="0" fontId="11" fillId="0" borderId="0" applyAlignment="1" pivotButton="0" quotePrefix="0" xfId="0">
      <alignment horizontal="left" vertical="top"/>
    </xf>
    <xf numFmtId="0" fontId="0" fillId="0" borderId="0" applyAlignment="1" pivotButton="0" quotePrefix="0" xfId="0">
      <alignment horizontal="left" vertical="top"/>
    </xf>
    <xf numFmtId="0" fontId="0" fillId="3" borderId="0" applyAlignment="1" pivotButton="0" quotePrefix="0" xfId="0">
      <alignment horizontal="general" vertical="top"/>
    </xf>
    <xf numFmtId="0" fontId="0" fillId="3" borderId="0" applyAlignment="1" pivotButton="0" quotePrefix="0" xfId="0">
      <alignment horizontal="center" vertical="top"/>
    </xf>
    <xf numFmtId="0" fontId="0" fillId="0" borderId="0" applyAlignment="1" pivotButton="0" quotePrefix="0" xfId="0">
      <alignment horizontal="general" vertical="bottom"/>
    </xf>
    <xf numFmtId="0" fontId="4" fillId="0" borderId="0" applyAlignment="1" pivotButton="0" quotePrefix="0" xfId="0">
      <alignment horizontal="left" vertical="top"/>
    </xf>
    <xf numFmtId="0" fontId="0" fillId="0" borderId="0" applyAlignment="1" pivotButton="0" quotePrefix="0" xfId="0">
      <alignment horizontal="left" vertical="top" wrapText="1"/>
    </xf>
    <xf numFmtId="0" fontId="12" fillId="4" borderId="6" applyAlignment="1" pivotButton="0" quotePrefix="0" xfId="0">
      <alignment horizontal="left" vertical="center"/>
    </xf>
    <xf numFmtId="0" fontId="0" fillId="0" borderId="6" pivotButton="0" quotePrefix="0" xfId="0"/>
    <xf numFmtId="0" fontId="12" fillId="4" borderId="7" applyAlignment="1" pivotButton="0" quotePrefix="0" xfId="0">
      <alignment horizontal="left" vertical="center"/>
    </xf>
    <xf numFmtId="0" fontId="12" fillId="4" borderId="8" applyAlignment="1" pivotButton="0" quotePrefix="0" xfId="0">
      <alignment horizontal="left" vertical="center"/>
    </xf>
    <xf numFmtId="0" fontId="12" fillId="0" borderId="0" applyAlignment="1" pivotButton="0" quotePrefix="0" xfId="0">
      <alignment horizontal="general" vertical="top"/>
    </xf>
    <xf numFmtId="0" fontId="0" fillId="0" borderId="0" applyAlignment="1" applyProtection="1" pivotButton="0" quotePrefix="0" xfId="0">
      <alignment horizontal="left" vertical="top" wrapText="1"/>
      <protection locked="0" hidden="0"/>
    </xf>
    <xf numFmtId="165" fontId="0" fillId="0" borderId="0" applyAlignment="1" applyProtection="1" pivotButton="0" quotePrefix="0" xfId="0">
      <alignment horizontal="right" vertical="top" wrapText="1"/>
      <protection locked="0" hidden="0"/>
    </xf>
    <xf numFmtId="0" fontId="0" fillId="0" borderId="0" applyAlignment="1" applyProtection="1" pivotButton="0" quotePrefix="0" xfId="0">
      <alignment horizontal="general" vertical="top" wrapText="1"/>
      <protection locked="0" hidden="0"/>
    </xf>
    <xf numFmtId="0" fontId="13" fillId="0" borderId="0" applyAlignment="1" pivotButton="0" quotePrefix="0" xfId="0">
      <alignment horizontal="general" vertical="top" wrapText="1"/>
    </xf>
    <xf numFmtId="166" fontId="0" fillId="0" borderId="0" applyAlignment="1" applyProtection="1" pivotButton="0" quotePrefix="0" xfId="0">
      <alignment horizontal="left" vertical="top" wrapText="1"/>
      <protection locked="0" hidden="0"/>
    </xf>
    <xf numFmtId="0" fontId="7" fillId="0" borderId="0" applyAlignment="1" pivotButton="0" quotePrefix="0" xfId="0">
      <alignment horizontal="general" vertical="bottom"/>
    </xf>
    <xf numFmtId="0" fontId="12" fillId="5" borderId="0" applyAlignment="1" pivotButton="0" quotePrefix="0" xfId="0">
      <alignment horizontal="general" vertical="bottom"/>
    </xf>
    <xf numFmtId="0" fontId="0" fillId="0" borderId="9" applyAlignment="1" pivotButton="0" quotePrefix="0" xfId="22">
      <alignment horizontal="general" vertical="bottom"/>
    </xf>
    <xf numFmtId="0" fontId="0" fillId="0" borderId="10" applyAlignment="1" pivotButton="0" quotePrefix="0" xfId="20">
      <alignment horizontal="general" vertical="bottom"/>
    </xf>
    <xf numFmtId="0" fontId="0" fillId="0" borderId="11" applyAlignment="1" pivotButton="0" quotePrefix="0" xfId="23">
      <alignment horizontal="left" vertical="bottom"/>
    </xf>
    <xf numFmtId="0" fontId="0" fillId="0" borderId="12" applyAlignment="1" pivotButton="0" quotePrefix="0" xfId="21">
      <alignment horizontal="general" vertical="bottom"/>
    </xf>
    <xf numFmtId="0" fontId="0" fillId="0" borderId="13" applyAlignment="1" pivotButton="0" quotePrefix="0" xfId="23">
      <alignment horizontal="left" vertical="bottom"/>
    </xf>
    <xf numFmtId="0" fontId="0" fillId="0" borderId="14" applyAlignment="1" pivotButton="0" quotePrefix="0" xfId="21">
      <alignment horizontal="general" vertical="bottom"/>
    </xf>
    <xf numFmtId="0" fontId="0" fillId="0" borderId="15" applyAlignment="1" pivotButton="0" quotePrefix="0" xfId="23">
      <alignment horizontal="left" vertical="bottom"/>
    </xf>
    <xf numFmtId="0" fontId="0" fillId="0" borderId="16" applyAlignment="1" pivotButton="0" quotePrefix="0" xfId="21">
      <alignment horizontal="general" vertical="bottom"/>
    </xf>
    <xf numFmtId="0" fontId="0" fillId="0" borderId="17" applyAlignment="1" pivotButton="0" quotePrefix="0" xfId="22">
      <alignment horizontal="general" vertical="bottom"/>
    </xf>
    <xf numFmtId="0" fontId="0" fillId="0" borderId="18" applyAlignment="1" pivotButton="0" quotePrefix="0" xfId="23">
      <alignment horizontal="left" vertical="bottom"/>
    </xf>
    <xf numFmtId="0" fontId="0" fillId="0" borderId="19" applyAlignment="1" pivotButton="0" quotePrefix="0" xfId="23">
      <alignment horizontal="left" vertical="bottom"/>
    </xf>
    <xf numFmtId="0" fontId="0" fillId="0" borderId="20" applyAlignment="1" pivotButton="0" quotePrefix="0" xfId="23">
      <alignment horizontal="left" vertical="bottom"/>
    </xf>
    <xf numFmtId="0" fontId="0" fillId="0" borderId="21" applyAlignment="1" pivotButton="0" quotePrefix="0" xfId="23">
      <alignment horizontal="left" vertical="bottom"/>
    </xf>
    <xf numFmtId="0" fontId="0" fillId="0" borderId="22" applyAlignment="1" pivotButton="0" quotePrefix="0" xfId="21">
      <alignment horizontal="general" vertical="bottom"/>
    </xf>
    <xf numFmtId="0" fontId="0" fillId="0" borderId="23" applyAlignment="1" pivotButton="0" quotePrefix="0" xfId="23">
      <alignment horizontal="left" vertical="bottom"/>
    </xf>
    <xf numFmtId="0" fontId="0" fillId="0" borderId="24" applyAlignment="1" pivotButton="0" quotePrefix="0" xfId="23">
      <alignment horizontal="left" vertical="bottom"/>
    </xf>
    <xf numFmtId="0" fontId="0" fillId="0" borderId="25" applyAlignment="1" pivotButton="0" quotePrefix="0" xfId="21">
      <alignment horizontal="general" vertical="bottom"/>
    </xf>
    <xf numFmtId="0" fontId="16" fillId="0" borderId="0" applyAlignment="1" pivotButton="0" quotePrefix="0" xfId="0">
      <alignment horizontal="left" vertical="top" readingOrder="1"/>
    </xf>
    <xf numFmtId="0" fontId="0" fillId="0" borderId="26" applyAlignment="1" pivotButton="0" quotePrefix="0" xfId="20">
      <alignment horizontal="general" vertical="bottom"/>
    </xf>
    <xf numFmtId="0" fontId="0" fillId="0" borderId="27" applyAlignment="1" pivotButton="0" quotePrefix="0" xfId="20">
      <alignment horizontal="general" vertical="bottom"/>
    </xf>
    <xf numFmtId="0" fontId="0" fillId="0" borderId="28" applyAlignment="1" pivotButton="0" quotePrefix="0" xfId="22">
      <alignment horizontal="general" vertical="bottom"/>
    </xf>
    <xf numFmtId="0" fontId="0" fillId="0" borderId="29" applyAlignment="1" pivotButton="0" quotePrefix="0" xfId="23">
      <alignment horizontal="left" vertical="bottom"/>
    </xf>
    <xf numFmtId="0" fontId="0" fillId="0" borderId="30" applyAlignment="1" pivotButton="0" quotePrefix="0" xfId="23">
      <alignment horizontal="left" vertical="bottom"/>
    </xf>
    <xf numFmtId="0" fontId="0" fillId="0" borderId="31" applyAlignment="1" pivotButton="0" quotePrefix="0" xfId="21">
      <alignment horizontal="general" vertical="bottom"/>
    </xf>
    <xf numFmtId="0" fontId="0" fillId="0" borderId="32" applyAlignment="1" pivotButton="0" quotePrefix="0" xfId="21">
      <alignment horizontal="general" vertical="bottom"/>
    </xf>
    <xf numFmtId="0" fontId="0" fillId="0" borderId="33" applyAlignment="1" pivotButton="0" quotePrefix="0" xfId="21">
      <alignment horizontal="general" vertical="bottom"/>
    </xf>
    <xf numFmtId="0" fontId="0" fillId="0" borderId="34" applyAlignment="1" pivotButton="0" quotePrefix="0" xfId="21">
      <alignment horizontal="general" vertical="bottom"/>
    </xf>
    <xf numFmtId="0" fontId="0" fillId="0" borderId="35" applyAlignment="1" pivotButton="0" quotePrefix="0" xfId="21">
      <alignment horizontal="general" vertical="bottom"/>
    </xf>
    <xf numFmtId="0" fontId="0" fillId="0" borderId="36" applyAlignment="1" pivotButton="0" quotePrefix="0" xfId="21">
      <alignment horizontal="general" vertical="bottom"/>
    </xf>
    <xf numFmtId="165" fontId="0" fillId="0" borderId="12" applyAlignment="1" pivotButton="0" quotePrefix="0" xfId="21">
      <alignment horizontal="general" vertical="bottom"/>
    </xf>
    <xf numFmtId="165" fontId="0" fillId="0" borderId="16" applyAlignment="1" pivotButton="0" quotePrefix="0" xfId="21">
      <alignment horizontal="general" vertical="bottom"/>
    </xf>
    <xf numFmtId="0" fontId="6" fillId="0" borderId="0" applyAlignment="1" pivotButton="0" quotePrefix="0" xfId="0">
      <alignment horizontal="general" vertical="bottom"/>
    </xf>
    <xf numFmtId="0" fontId="17" fillId="5" borderId="0" applyAlignment="1" pivotButton="0" quotePrefix="0" xfId="0">
      <alignment horizontal="left" vertical="bottom"/>
    </xf>
    <xf numFmtId="0" fontId="17" fillId="0" borderId="0" applyAlignment="1" pivotButton="0" quotePrefix="0" xfId="0">
      <alignment horizontal="left" vertical="bottom"/>
    </xf>
    <xf numFmtId="0" fontId="17" fillId="5" borderId="0" applyAlignment="1" pivotButton="0" quotePrefix="0" xfId="0">
      <alignment horizontal="general" vertical="bottom"/>
    </xf>
    <xf numFmtId="0" fontId="18" fillId="0" borderId="0" applyAlignment="1" pivotButton="0" quotePrefix="0" xfId="0">
      <alignment horizontal="general" vertical="bottom"/>
    </xf>
    <xf numFmtId="0" fontId="0" fillId="0" borderId="0" applyAlignment="1" pivotButton="0" quotePrefix="0" xfId="0">
      <alignment horizontal="left" vertical="bottom"/>
    </xf>
    <xf numFmtId="0" fontId="5" fillId="0" borderId="0" applyAlignment="1" pivotButton="0" quotePrefix="0" xfId="0">
      <alignment horizontal="general" vertical="bottom"/>
    </xf>
    <xf numFmtId="0" fontId="17" fillId="0" borderId="0" applyAlignment="1" pivotButton="0" quotePrefix="0" xfId="0">
      <alignment horizontal="general" vertical="bottom"/>
    </xf>
    <xf numFmtId="0" fontId="4" fillId="0" borderId="0" applyAlignment="1" pivotButton="0" quotePrefix="0" xfId="0">
      <alignment horizontal="general" vertical="bottom"/>
    </xf>
    <xf numFmtId="0" fontId="4" fillId="0" borderId="0" applyAlignment="1" pivotButton="0" quotePrefix="0" xfId="0">
      <alignment horizontal="left" vertical="bottom"/>
    </xf>
    <xf numFmtId="0" fontId="17" fillId="0" borderId="0" applyAlignment="1" pivotButton="0" quotePrefix="0" xfId="0">
      <alignment horizontal="right" vertical="bottom"/>
    </xf>
    <xf numFmtId="0" fontId="19" fillId="0" borderId="0" applyAlignment="1" pivotButton="0" quotePrefix="0" xfId="0">
      <alignment horizontal="general" vertical="bottom"/>
    </xf>
    <xf numFmtId="0" fontId="0" fillId="0" borderId="37" applyAlignment="1" pivotButton="0" quotePrefix="0" xfId="20">
      <alignment horizontal="general" vertical="bottom"/>
    </xf>
    <xf numFmtId="0" fontId="0" fillId="0" borderId="38" applyAlignment="1" pivotButton="0" quotePrefix="0" xfId="23">
      <alignment horizontal="left" vertical="bottom"/>
    </xf>
    <xf numFmtId="0" fontId="4" fillId="0" borderId="39" applyAlignment="1" pivotButton="0" quotePrefix="0" xfId="24">
      <alignment horizontal="left" vertical="bottom"/>
    </xf>
    <xf numFmtId="0" fontId="0" fillId="0" borderId="39" applyAlignment="1" pivotButton="0" quotePrefix="0" xfId="21">
      <alignment horizontal="general" vertical="bottom"/>
    </xf>
    <xf numFmtId="0" fontId="0" fillId="0" borderId="40" applyAlignment="1" pivotButton="0" quotePrefix="0" xfId="21">
      <alignment horizontal="general" vertical="bottom"/>
    </xf>
    <xf numFmtId="0" fontId="4" fillId="0" borderId="12" applyAlignment="1" pivotButton="0" quotePrefix="0" xfId="25">
      <alignment horizontal="general" vertical="bottom"/>
    </xf>
    <xf numFmtId="0" fontId="4" fillId="0" borderId="23" applyAlignment="1" pivotButton="0" quotePrefix="0" xfId="24">
      <alignment horizontal="left" vertical="bottom"/>
    </xf>
    <xf numFmtId="0" fontId="4" fillId="0" borderId="25" applyAlignment="1" pivotButton="0" quotePrefix="0" xfId="25">
      <alignment horizontal="general" vertical="bottom"/>
    </xf>
    <xf numFmtId="0" fontId="0" fillId="0" borderId="41" applyAlignment="1" pivotButton="0" quotePrefix="0" xfId="21">
      <alignment horizontal="general" vertical="bottom"/>
    </xf>
    <xf numFmtId="0" fontId="4" fillId="0" borderId="14" applyAlignment="1" pivotButton="0" quotePrefix="0" xfId="25">
      <alignment horizontal="general" vertical="bottom"/>
    </xf>
    <xf numFmtId="0" fontId="0" fillId="0" borderId="29" applyAlignment="1" pivotButton="0" quotePrefix="0" xfId="21">
      <alignment horizontal="general" vertical="bottom"/>
    </xf>
    <xf numFmtId="0" fontId="0" fillId="0" borderId="42" applyAlignment="1" pivotButton="0" quotePrefix="0" xfId="21">
      <alignment horizontal="general" vertical="bottom"/>
    </xf>
    <xf numFmtId="0" fontId="4" fillId="0" borderId="22" applyAlignment="1" pivotButton="0" quotePrefix="0" xfId="25">
      <alignment horizontal="general" vertical="bottom"/>
    </xf>
    <xf numFmtId="0" fontId="4" fillId="0" borderId="43" applyAlignment="1" pivotButton="0" quotePrefix="0" xfId="25">
      <alignment horizontal="general" vertical="bottom"/>
    </xf>
    <xf numFmtId="0" fontId="4" fillId="0" borderId="44" applyAlignment="1" pivotButton="0" quotePrefix="0" xfId="25">
      <alignment horizontal="general" vertical="bottom"/>
    </xf>
    <xf numFmtId="165" fontId="0" fillId="0" borderId="22" applyAlignment="1" pivotButton="0" quotePrefix="0" xfId="21">
      <alignment horizontal="general" vertical="bottom"/>
    </xf>
    <xf numFmtId="165" fontId="4" fillId="0" borderId="25" applyAlignment="1" pivotButton="0" quotePrefix="0" xfId="25">
      <alignment horizontal="general" vertical="bottom"/>
    </xf>
    <xf numFmtId="0" fontId="0" fillId="6" borderId="0" applyAlignment="1" pivotButton="0" quotePrefix="0" xfId="0">
      <alignment horizontal="left" vertical="top" wrapText="1"/>
    </xf>
    <xf numFmtId="0" fontId="20" fillId="0" borderId="0" applyAlignment="1" pivotButton="0" quotePrefix="0" xfId="0">
      <alignment vertical="top" wrapText="1"/>
    </xf>
    <xf numFmtId="0" fontId="0" fillId="0" borderId="0" applyAlignment="1" pivotButton="0" quotePrefix="0" xfId="0">
      <alignment vertical="top" wrapText="1"/>
    </xf>
    <xf numFmtId="0" fontId="21" fillId="0" borderId="0" applyAlignment="1" pivotButton="0" quotePrefix="0" xfId="0">
      <alignment vertical="top" wrapText="1"/>
    </xf>
  </cellXfs>
  <cellStyles count="12">
    <cellStyle name="Normal" xfId="0" builtinId="0"/>
    <cellStyle name="Comma" xfId="1" builtinId="3"/>
    <cellStyle name="Comma [0]" xfId="2" builtinId="6"/>
    <cellStyle name="Currency" xfId="3" builtinId="4"/>
    <cellStyle name="Currency [0]" xfId="4" builtinId="7"/>
    <cellStyle name="Percent" xfId="5" builtinId="5"/>
    <cellStyle name="Pivot Table Corner" xfId="6"/>
    <cellStyle name="Pivot Table Value" xfId="7"/>
    <cellStyle name="Pivot Table Field" xfId="8"/>
    <cellStyle name="Pivot Table Category" xfId="9"/>
    <cellStyle name="Pivot Table Title" xfId="10"/>
    <cellStyle name="Pivot Table Result" xfId="11"/>
  </cellStyles>
  <dxfs count="11">
    <dxf>
      <fill>
        <patternFill patternType="solid">
          <bgColor rgb="FF000000"/>
        </patternFill>
      </fill>
    </dxf>
    <dxf>
      <fill>
        <patternFill patternType="solid">
          <fgColor rgb="FF444444"/>
          <bgColor rgb="FF000000"/>
        </patternFill>
      </fill>
    </dxf>
    <dxf>
      <fill>
        <patternFill patternType="solid">
          <fgColor rgb="FFFF0000"/>
          <bgColor rgb="FF000000"/>
        </patternFill>
      </fill>
    </dxf>
    <dxf>
      <fill>
        <patternFill patternType="solid">
          <fgColor rgb="FFFFC000"/>
          <bgColor rgb="FF000000"/>
        </patternFill>
      </fill>
    </dxf>
    <dxf>
      <fill>
        <patternFill patternType="solid">
          <fgColor rgb="FFFFFFFF"/>
          <bgColor rgb="FF000000"/>
        </patternFill>
      </fill>
    </dxf>
    <dxf>
      <fill>
        <patternFill patternType="solid">
          <fgColor rgb="FF92D050"/>
          <bgColor rgb="FF000000"/>
        </patternFill>
      </fill>
    </dxf>
    <dxf>
      <fill>
        <patternFill>
          <bgColor theme="1" tint="0.3999"/>
        </patternFill>
      </fill>
    </dxf>
    <dxf>
      <font>
        <b val="1"/>
        <color rgb="FFFFFFFF"/>
      </font>
      <fill>
        <patternFill>
          <bgColor rgb="FFFF0000"/>
        </patternFill>
      </fill>
    </dxf>
    <dxf>
      <font>
        <b val="1"/>
        <color rgb="FF444444"/>
      </font>
      <fill>
        <patternFill>
          <bgColor rgb="FFFFC000"/>
        </patternFill>
      </fill>
    </dxf>
    <dxf>
      <font>
        <b val="1"/>
        <color rgb="FF444444"/>
      </font>
      <fill>
        <patternFill>
          <bgColor rgb="FF92D050"/>
        </patternFill>
      </fill>
    </dxf>
    <dxf>
      <fill>
        <patternFill patternType="solid">
          <fgColor rgb="FF42989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0EAE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000"/>
      <rgbColor rgb="FFFF9900"/>
      <rgbColor rgb="FFFF6600"/>
      <rgbColor rgb="FF666699"/>
      <rgbColor rgb="FF8F8F8F"/>
      <rgbColor rgb="FF214C4E"/>
      <rgbColor rgb="FF42989B"/>
      <rgbColor rgb="FF003300"/>
      <rgbColor rgb="FF333300"/>
      <rgbColor rgb="FF993300"/>
      <rgbColor rgb="FF993366"/>
      <rgbColor rgb="FF333399"/>
      <rgbColor rgb="FF4444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pivotCacheDefinition" Target="/xl/pivotCache/pivotCacheDefinition1.xml" Id="rId13"/><Relationship Type="http://schemas.openxmlformats.org/officeDocument/2006/relationships/pivotCacheDefinition" Target="/xl/pivotCache/pivotCacheDefinition2.xml" Id="rId14"/><Relationship Type="http://schemas.openxmlformats.org/officeDocument/2006/relationships/pivotCacheDefinition" Target="/xl/pivotCache/pivotCacheDefinition3.xml" Id="rId15"/><Relationship Type="http://schemas.openxmlformats.org/officeDocument/2006/relationships/pivotCacheDefinition" Target="/xl/pivotCache/pivotCacheDefinition4.xml" Id="rId16"/><Relationship Type="http://schemas.openxmlformats.org/officeDocument/2006/relationships/styles" Target="styles.xml" Id="rId17"/><Relationship Type="http://schemas.openxmlformats.org/officeDocument/2006/relationships/theme" Target="theme/theme1.xml" Id="rId18"/></Relationships>
</file>

<file path=xl/comments/comment1.xml><?xml version="1.0" encoding="utf-8"?>
<comments xmlns="http://schemas.openxmlformats.org/spreadsheetml/2006/main">
  <authors>
    <author>Unknown Author</author>
  </authors>
  <commentList>
    <comment ref="B12" authorId="0" shapeId="0">
      <text>
        <t>This section describes the nature of the risk and, as required by the ISO27001 standard, the risk owner.</t>
      </text>
    </comment>
    <comment ref="I12" authorId="0" shapeId="0">
      <text>
        <t>This is an assessment of the level of current risk, taking into account any controls already in place to address it.</t>
      </text>
    </comment>
    <comment ref="P12" authorId="0" shapeId="0">
      <text>
        <t>For those risks that are not accepted, a plan must be in place to take action to address the risk.</t>
      </text>
    </comment>
    <comment ref="X12" authorId="0" shapeId="0">
      <text>
        <t>This section is used to assess what the level of risk will be, once the treatment actions have been carried out.</t>
      </text>
    </comment>
    <comment ref="B13" authorId="0" shapeId="0">
      <text>
        <t>Enter a reference number here.</t>
      </text>
    </comment>
    <comment ref="C13" authorId="0" shapeId="0">
      <text>
        <t>The logical collection of assets that is under consideration.</t>
      </text>
    </comment>
    <comment ref="D13" authorId="0" shapeId="0">
      <text>
        <t>The individual asset (or sub-group) that is being assessed.</t>
      </text>
    </comment>
    <comment ref="E13" authorId="0" shapeId="0">
      <text>
        <t xml:space="preserve">What may happen if the asset's vulnerabilities are exploited by a specific entity.
</t>
      </text>
    </comment>
    <comment ref="F13" authorId="0" shapeId="0">
      <text>
        <t>A weakness that could be exploited by a threat to expose the asset to compromise.</t>
      </text>
    </comment>
    <comment ref="G13" authorId="0" shapeId="0">
      <text>
        <t>Is this a risk to:
C = Confidentiality
I = Integrity
A = Availability
or a combination of these?</t>
      </text>
    </comment>
    <comment ref="H13" authorId="0" shapeId="0">
      <text>
        <t>Name of the person responsible for the risk.</t>
      </text>
    </comment>
    <comment ref="I13" authorId="0" shapeId="0">
      <text>
        <t>Existing controls which could lessen the risk likelihood and/or impact.</t>
      </text>
    </comment>
    <comment ref="J13" authorId="0" shapeId="0">
      <text>
        <t>Select a score from 1 to 5, where 1 is a low likelihood and 5 is high.</t>
      </text>
    </comment>
    <comment ref="K13" authorId="0" shapeId="0">
      <text>
        <t>Reasoning for giving that likelihood score.</t>
      </text>
    </comment>
    <comment ref="L13" authorId="0" shapeId="0">
      <text>
        <t>Select a score from 1 to 5, where 1 is low impact and 5 is high.</t>
      </text>
    </comment>
    <comment ref="M13" authorId="0" shapeId="0">
      <text>
        <t>Brief explanation of why the impact score was assigned.</t>
      </text>
    </comment>
    <comment ref="N13" authorId="0" shapeId="0">
      <text>
        <t>Risk score of between 1 and 25. This field will be automatically generated.</t>
      </text>
    </comment>
    <comment ref="O13" authorId="0" shapeId="0">
      <text>
        <t>Risk level of low, medium or high, depending on the risk score. This field will be automatically generated.</t>
      </text>
    </comment>
    <comment ref="P13" authorId="0" shapeId="0">
      <text>
        <t>Select a risk treatment option from the drop-down menu.</t>
      </text>
    </comment>
    <comment ref="Q13" authorId="0" shapeId="0">
      <text>
        <t xml:space="preserve">If appropriate, record the proposed controls intended to address the risk. These may be guided by ISO27001 Annex A reference controls, or taken from another source. </t>
      </text>
    </comment>
    <comment ref="R13" authorId="0" shapeId="0">
      <text>
        <t>If appropriate, give the specific reference information of the control(s) used to address the risk.</t>
      </text>
    </comment>
    <comment ref="S13" authorId="0" shapeId="0">
      <text>
        <t>How much money will the proposed control cost?</t>
      </text>
    </comment>
    <comment ref="T13" authorId="0" shapeId="0">
      <text>
        <t>The person or role tasked with completing the treatment action.</t>
      </text>
    </comment>
    <comment ref="U13" authorId="0" shapeId="0">
      <text>
        <t>The date or timeframe by which the treatment action must be completed.</t>
      </text>
    </comment>
    <comment ref="V13" authorId="0" shapeId="0">
      <text>
        <t>A dated narrative of progress towards the completion of the treatment action.</t>
      </text>
    </comment>
    <comment ref="W13" authorId="0" shapeId="0">
      <text>
        <t>Whether the treatment action has been completed.</t>
      </text>
    </comment>
    <comment ref="X13" authorId="0" shapeId="0">
      <text>
        <t>Select a score from 1 to 5, where 1 is a low likelihood and 5 is high.</t>
      </text>
    </comment>
    <comment ref="Y13" authorId="0" shapeId="0">
      <text>
        <t>Reasoning for giving that likelihood score.</t>
      </text>
    </comment>
    <comment ref="Z13" authorId="0" shapeId="0">
      <text>
        <t>Select a score from 1 to 5, where 1 is low impact and 5 is high.</t>
      </text>
    </comment>
    <comment ref="AA13" authorId="0" shapeId="0">
      <text>
        <t>Reasoning for giving that impact score.</t>
      </text>
    </comment>
    <comment ref="AB13" authorId="0" shapeId="0">
      <text>
        <t>Risk score of between 1 and 25. This field will be automatically generated.</t>
      </text>
    </comment>
    <comment ref="AC13" authorId="0" shapeId="0">
      <text>
        <t>Risk level of low, medium or high, depending on the risk score. This field will be automatically generated.</t>
      </text>
    </comment>
    <comment ref="AD13" authorId="0" shapeId="0">
      <text>
        <t>Enter any other comments here.</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1</col>
      <colOff>302760</colOff>
      <row>0</row>
      <rowOff>123840</rowOff>
    </from>
    <to>
      <col>4</col>
      <colOff>653040</colOff>
      <row>5</row>
      <rowOff>128880</rowOff>
    </to>
    <pic>
      <nvPicPr>
        <cNvPr id="2" name="Picture 10" descr="Auto Replac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33880" y="123840"/>
          <a:ext cx="3657240" cy="919440"/>
        </a:xfrm>
        <a:prstGeom xmlns:a="http://schemas.openxmlformats.org/drawingml/2006/main" prst="rect">
          <avLst/>
        </a:prstGeom>
        <a:ln xmlns:a="http://schemas.openxmlformats.org/drawingml/2006/main" w="0">
          <a:noFill/>
          <a:prstDash val="solid"/>
        </a:ln>
      </spPr>
    </pic>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createdVersion="3" recordCount="3" r:id="rId1">
  <cacheSource type="worksheet">
    <worksheetSource ref="B6:C9" sheet="Pre-treatment risks"/>
  </cacheSource>
  <cacheFields count="2">
    <cacheField name="Risk level" uniqueList="1" numFmtId="0" sqlType="0" hierarchy="0" level="0" databaseField="1">
      <sharedItems count="3">
        <s v=" High"/>
        <s v=" Low"/>
        <s v=" Medium"/>
      </sharedItems>
    </cacheField>
    <cacheField name="Pre-treatment" uniqueList="1" numFmtId="0" sqlType="0" hierarchy="0" level="0" databaseField="1">
      <sharedItems count="3" containsInteger="1" containsNumber="1" containsSemiMixedTypes="0" containsString="0" minValue="0" maxValue="19">
        <n v="0"/>
        <n v="1"/>
        <n v="19"/>
      </sharedItems>
    </cacheField>
  </cacheFields>
</pivotCacheDefinition>
</file>

<file path=xl/pivotCache/pivotCacheDefinition2.xml><?xml version="1.0" encoding="utf-8"?>
<pivotCacheDefinition xmlns:r="http://schemas.openxmlformats.org/officeDocument/2006/relationships" xmlns="http://schemas.openxmlformats.org/spreadsheetml/2006/main" createdVersion="3" recordCount="20" r:id="rId1">
  <cacheSource type="worksheet">
    <worksheetSource ref="B13:AD33" sheet="Risk Assessment"/>
  </cacheSource>
  <cacheFields count="29">
    <cacheField name="Ref" uniqueList="1" numFmtId="0" sqlType="0" hierarchy="0" level="0" databaseField="1">
      <sharedItems count="20" containsInteger="1" containsNumber="1" containsSemiMixedTypes="0" containsString="0" minValue="1" maxValue="20">
        <n v="1"/>
        <n v="2"/>
        <n v="3"/>
        <n v="4"/>
        <n v="5"/>
        <n v="6"/>
        <n v="7"/>
        <n v="8"/>
        <n v="9"/>
        <n v="10"/>
        <n v="11"/>
        <n v="12"/>
        <n v="13"/>
        <n v="14"/>
        <n v="15"/>
        <n v="16"/>
        <n v="17"/>
        <n v="18"/>
        <n v="19"/>
        <n v="20"/>
      </sharedItems>
    </cacheField>
    <cacheField name="Asset Group" uniqueList="1" numFmtId="0" sqlType="0" hierarchy="0" level="0" databaseField="1">
      <sharedItems count="18">
        <s v="Access Management"/>
        <s v="Applications"/>
        <s v="Business Continuity"/>
        <s v="Cloud Services"/>
        <s v="Core Banking"/>
        <s v="Development and Testing"/>
        <s v="Digital Banking Services"/>
        <s v="Digital Certificates"/>
        <s v="Endpoint Devices"/>
        <s v="Information"/>
        <s v="Infrastructure"/>
        <s v="Legacy Systems"/>
        <s v="Monitoring"/>
        <s v="People"/>
        <s v="Privileged Access"/>
        <s v="Security Culture"/>
        <s v="Third Parties"/>
        <s v="Threat Intelligence"/>
      </sharedItems>
    </cacheField>
    <cacheField name="Asset" uniqueList="1" numFmtId="0" sqlType="0" hierarchy="0" level="0" databaseField="1">
      <sharedItems count="20">
        <s v="Administrative accounts and passwords"/>
        <s v="Afaq Net online banking platform"/>
        <s v="Afaq Plus and Afaq Net"/>
        <s v="Afaq Plus mobile banking application"/>
        <s v="All employees"/>
        <s v="AWS-hosted non-critical systems"/>
        <s v="Bank technology environment"/>
        <s v="Bank website and Afaq Net"/>
        <s v="Core Banking System"/>
        <s v="Customer personal and financial data"/>
        <s v="Cybersecurity threat information"/>
        <s v="Development, testing, and staging environments"/>
        <s v="Digital banking infrastructure"/>
        <s v="Finance Department users"/>
        <s v="HR network folders"/>
        <s v="Internal network systems"/>
        <s v="Legacy payroll system"/>
        <s v="Marketing manager laptop"/>
        <s v="Mobile application development service"/>
        <s v="Security logs and SIEM capability"/>
      </sharedItems>
    </cacheField>
    <cacheField name="Threat" uniqueList="1" numFmtId="0" sqlType="0" hierarchy="0" level="0" databaseField="1">
      <sharedItems count="20">
        <s v="Advanced phishing and business email compromise"/>
        <s v="Delayed detection of security incidents"/>
        <s v="Delayed remediation of known vulnerabilities"/>
        <s v="Distributed denial-of-service attack"/>
        <s v="Expiration of TLS/SSL certificates"/>
        <s v="Exploitation of application vulnerabilities"/>
        <s v="Exploitation of known technical vulnerabilities"/>
        <s v="Exploitation of web application vulnerabilities"/>
        <s v="Exploitation or operational failure of a legacy business system"/>
        <s v="Exposure of real information in test environments"/>
        <s v="Human error and weak security awareness"/>
        <s v="Insufficiently systematic threat intelligence"/>
        <s v="Loss or theft of endpoint containing customer data"/>
        <s v="Ransomware or malware affecting critical banking systems"/>
        <s v="Service disruption caused by human error during critical network changes"/>
        <s v="Supply-chain compromise through technology partner"/>
        <s v="Third-party cloud security failure"/>
        <s v="Unauthorized access through excessive privileges"/>
        <s v="Unauthorized disclosure or misuse of customer information"/>
        <s v="Unauthorized use of privileged credentials"/>
      </sharedItems>
    </cacheField>
    <cacheField name="Vulnerability" uniqueList="1" numFmtId="0" sqlType="0" hierarchy="0" level="0" databaseField="1">
      <sharedItems count="20">
        <s v="A previous firewall change accidentally deleted a critical rule and blocked inbound connections to banking application servers."/>
        <s v="Administrative passwords are managed manually and the case study identifies password sharing as a control gap."/>
        <s v="Centralized logs are collected, but SIEM analysis is currently performed manually."/>
        <s v="Digital banking services are exposed to DDoS threats that could disrupt customer access."/>
        <s v="Employees were targeted by convincing messages requesting an urgent external transfer of SAR 150,000."/>
        <s v="Five medium-risk vulnerabilities were identified in internal network systems."/>
        <s v="Part of Afaq Plus is developed with an external mobile application company."/>
        <s v="Previously reported vulnerabilities remained unresolved, including a high-risk mobile vulnerability and most medium-risk findings."/>
        <s v="Security culture is not fully established and a recent phishing simulation recorded 25% link clicks, 12% credential submissions, and only 8% reporting."/>
        <s v="Seven medium-risk vulnerabilities remain in the online banking platform."/>
        <s v="Some IT employees had full access to HR folders containing employee profiles, payroll data, and performance information; inherited access was not removed after an earlier project."/>
        <s v="Some non-critical systems use Amazon Web Services and require clear security responsibilities."/>
        <s v="The bank holds extensive personal, financial, biometric, authentication, and communication data."/>
        <s v="The bank is aware of sector threats but threat intelligence collection and analysis are not sufficiently systematic."/>
        <s v="The banking environment is exposed to ransomware and other malware threats targeting financial-sector systems."/>
        <s v="The case study identifies the use of real data in testing as a control gap."/>
        <s v="The legacy payroll system is planned for replacement within two years and remains in use."/>
        <s v="The lost laptop contained local copies of customer information and the hard drive was not encrypted."/>
        <s v="Three high-risk vulnerabilities related to insufficient input validation may permit SQL injection."/>
        <s v="TLS/SSL certificates expired without detection and remained expired for four hours."/>
      </sharedItems>
    </cacheField>
    <cacheField name="Risk Type" uniqueList="1" numFmtId="0" sqlType="0" hierarchy="0" level="0" databaseField="1">
      <sharedItems count="3">
        <s v="A"/>
        <s v="C"/>
        <s v="CIA"/>
      </sharedItems>
    </cacheField>
    <cacheField name="Risk Owner" uniqueList="1" numFmtId="0" sqlType="0" hierarchy="0" level="0" databaseField="1">
      <sharedItems count="10">
        <s v="CIO"/>
        <s v="CISO"/>
        <s v="Finance Manager"/>
        <s v="Head of Banking Applications"/>
        <s v="HR and IT Managers"/>
        <s v="Infrastructure and Networks Manager"/>
        <s v="IT Manager"/>
        <s v="Network Manager"/>
        <s v="SOC Manager"/>
        <s v="Software Development Manager"/>
      </sharedItems>
    </cacheField>
    <cacheField name="Existing Controls" uniqueList="1" numFmtId="0" sqlType="0" hierarchy="0" level="0" databaseField="1">
      <sharedItems count="20">
        <s v="Active Directory manages user accounts and permissions; periodic access review identified the issue."/>
        <s v="Active Directory, RSA SecurID MFA for remote access to some sensitive systems, and security operations personnel."/>
        <s v="Cisco secure email gateway and real-time fraud detection system stopped the attempted transfer."/>
        <s v="Cloud services are used for some non-critical systems and the bank has information security governance resources."/>
        <s v="Endpoint antivirus protection and incident reporting processes were available; full-disk encryption was not enabled on all devices at the time."/>
        <s v="External development relationship, separate development/testing/staging environments, and internal source-code management."/>
        <s v="FortiWeb WAF, IDS/IPS, quarterly vulnerability scanning, secure development and testing environments."/>
        <s v="FortiWeb WAF, IDS/IPS, quarterly vulnerability scanning."/>
        <s v="High-availability Palo Alto firewalls, network team, SOC, and incident response resources."/>
        <s v="Information Security Governance Team, SOC, external vulnerability consultant, and existing security solutions."/>
        <s v="Oracle customer database with high availability and disaster recovery replication, access controls, endpoint security, and security monitoring capabilities."/>
        <s v="Palo Alto firewalls, IDS/IPS, high-availability network design, and resilient digital banking infrastructure."/>
        <s v="Palo Alto firewalls, IDS/IPS, quarterly external vulnerability assessment, network security controls."/>
        <s v="Quarterly vulnerability scanning and an Information Security risk and vulnerability assessment team."/>
        <s v="SAP ERP supports financial and HR resources; the legacy payroll system is scheduled for replacement."/>
        <s v="Security email gateway, security teams, incident reporting channels, and existing awareness activities."/>
        <s v="Separate virtual development, testing, and staging servers are intended to be isolated from production; Enterprise GitLab supports source-code management."/>
        <s v="Syslog server for centralized event collection, SOC with eight analysts, IDS/IPS, and fraud detection."/>
        <s v="TLS/SSL certificates were used for the website and online banking services; no automated expiry monitoring existed."/>
        <s v="Trend Micro endpoint and server protection, backup infrastructure, disaster recovery site, firewalls, IDS/IPS, and security operations resources."/>
      </sharedItems>
    </cacheField>
    <cacheField name="Likelihood" uniqueList="1" numFmtId="0" sqlType="0" hierarchy="0" level="0" databaseField="1">
      <sharedItems count="2" containsInteger="1" containsNumber="1" containsSemiMixedTypes="0" containsString="0" minValue="3" maxValue="4">
        <n v="3"/>
        <n v="4"/>
      </sharedItems>
    </cacheField>
    <cacheField name="Likelihood Rationale" uniqueList="1" numFmtId="0" sqlType="0" hierarchy="0" level="0" databaseField="1">
      <sharedItems count="20">
        <s v="A certificate expiration incident occurred six months before the assessment and remained undetected for four hours."/>
        <s v="A major service outage caused by a network configuration error occurred two years before the assessment."/>
        <s v="A real phishing incident occurred and one of three targeted employees initiated the transfer before fraud detection stopped it."/>
        <s v="A similar loss occurred nine months before the assessment and reporting took 48 hours."/>
        <s v="Cloud services create shared-responsibility and supplier-security considerations identified in the case study."/>
        <s v="DDoS is an identified sector threat and digital banking services are highly relied upon by customers."/>
        <s v="Excessive inherited access was discovered during a routine review and had existed for an unknown period."/>
        <s v="Manual log analysis can delay recognition and response to abnormal activity; previous incidents were not always detected promptly."/>
        <s v="Manual management and identified password-sharing weaknesses increase the probability of privileged credential misuse."/>
        <s v="Ransomware is an identified threat to the bank and the environment contains highly valuable financial information."/>
        <s v="The case identifies supply-chain attacks as a significant banking threat and relies on an external development partner."/>
        <s v="The case study confirms that some findings from previous assessments had not been remediated."/>
        <s v="The case study explicitly identifies a weakness in systematic collection and analysis of threat intelligence."/>
        <s v="The case study identifies use of real data in test environments as a current weakness."/>
        <s v="The latest vulnerability assessment identified seven medium-risk issues and some previously reported issues remained unresolved."/>
        <s v="The recent simulation demonstrates significant susceptibility to phishing and limited reporting behavior."/>
        <s v="The system is old and scheduled for replacement, increasing the need for controlled risk management during the transition period."/>
        <s v="The volume and sensitivity of customer data make unauthorized access a credible and material threat."/>
        <s v="The vulnerability assessment identified five medium-risk internal network vulnerabilities."/>
        <s v="Three high-risk mobile application vulnerabilities were identified and one remained unresolved at the latest assessment."/>
      </sharedItems>
    </cacheField>
    <cacheField name="Impact" uniqueList="1" numFmtId="0" sqlType="0" hierarchy="0" level="0" databaseField="1">
      <sharedItems count="3" containsInteger="1" containsNumber="1" containsSemiMixedTypes="0" containsString="0" minValue="3" maxValue="5">
        <n v="3"/>
        <n v="4"/>
        <n v="5"/>
      </sharedItems>
    </cacheField>
    <cacheField name="Impact Rationale" uniqueList="1" numFmtId="0" sqlType="0" hierarchy="0" level="0" databaseField="1">
      <sharedItems count="20">
        <s v="A compromise could affect online banking availability, customer information, and transaction integrity."/>
        <s v="A compromised supplier could introduce weaknesses into a customer-facing banking application."/>
        <s v="A failure or compromise could affect payroll operations and employee information."/>
        <s v="A security failure or unclear responsibility could expose information or interrupt supporting services."/>
        <s v="A significant data breach could lead to regulatory consequences, customer harm, financial cost, and reputational damage."/>
        <s v="A successful phishing event could cause financial loss, credential compromise, or unauthorized transactions."/>
        <s v="Accumulated unresolved vulnerabilities increase the opportunity for exploitation and repeated exposure."/>
        <s v="Compromise could disrupt core banking operations and affect confidentiality, integrity, and availability."/>
        <s v="Compromise of privileged credentials could provide broad access to sensitive systems and information."/>
        <s v="Customer security warnings can disrupt service access and cause significant reputational damage."/>
        <s v="Delayed detection can increase the duration and impact of security incidents."/>
        <s v="Exploitation could enable unauthorized access to supporting systems and disrupt banking operations."/>
        <s v="Exposure of real customer or operational information in non-production environments could cause confidentiality and compliance issues."/>
        <s v="Extended disruption would directly affect customers and banking operations."/>
        <s v="HR records contain sensitive personal and payroll information and unauthorized disclosure could create regulatory and reputational impact."/>
        <s v="Insufficiently current threat information may delay preventive action against relevant threats."/>
        <s v="Successful exploitation could affect customer data, transaction integrity, and confidence in digital banking."/>
        <s v="The device contained customer names, contact details, and banking information, creating significant confidentiality and regulatory exposure."/>
        <s v="The previous incident stopped mobile and online banking services for three hours during a payroll peak period."/>
        <s v="Weak awareness can contribute to credential compromise, fraud, data disclosure, and operational incidents."/>
      </sharedItems>
    </cacheField>
    <cacheField name="Risk Score" uniqueList="1" numFmtId="0" sqlType="0" hierarchy="0" level="0" databaseField="1">
      <sharedItems count="5" containsInteger="1" containsNumber="1" containsSemiMixedTypes="0" containsString="0" minValue="9" maxValue="20">
        <n v="9"/>
        <n v="12"/>
        <n v="15"/>
        <n v="16"/>
        <n v="20"/>
      </sharedItems>
    </cacheField>
    <cacheField name="Risk Level" uniqueList="1" numFmtId="0" sqlType="0" hierarchy="0" level="0" databaseField="1">
      <sharedItems count="2">
        <s v=" HIGH"/>
        <s v=" MEDIUM"/>
      </sharedItems>
    </cacheField>
    <cacheField name="Treatment Option Chosen" uniqueList="1" numFmtId="0" sqlType="0" hierarchy="0" level="0" databaseField="1">
      <sharedItems count="1">
        <s v="Modify"/>
      </sharedItems>
    </cacheField>
    <cacheField name="Proposed Treatment Action" uniqueList="1" numFmtId="0" sqlType="0" hierarchy="0" level="0" databaseField="1">
      <sharedItems count="20">
        <s v="Define and maintain security requirements for the external development partner and require secure testing data and development practices."/>
        <s v="Deliver continuous role-based security awareness and repeat phishing simulations with targeted follow-up for higher-risk departments."/>
        <s v="Document security responsibilities, acceptable-use requirements, and oversight expectations for cloud services."/>
        <s v="Enforce full-disk encryption on bank laptops and reinforce rapid reporting requirements for lost devices."/>
        <s v="Establish a documented process for collecting, assessing, and communicating relevant cybersecurity threat information."/>
        <s v="Establish a tracked remediation cycle with ownership, prioritization, verification, and management visibility for overdue findings."/>
        <s v="Improve documented log monitoring and escalation practices and establish consistent analysis and response responsibilities."/>
        <s v="Maintain a documented certificate inventory and implement monitoring and renewal responsibilities for digital certificates."/>
        <s v="Maintain documented security and operational controls for the legacy payroll system until replacement is completed."/>
        <s v="Prioritize and remediate the identified vulnerabilities, then perform verification testing before closure."/>
        <s v="Provide focused security awareness and phishing training for finance staff and reinforce independent verification of unusual transfer requests."/>
        <s v="Remediate the remaining high-risk vulnerability, strengthen input validation, and verify the fixes through security testing."/>
        <s v="Remove unnecessary inherited privileges and implement periodic access-rights reviews for sensitive HR information."/>
        <s v="Require peer review for critical network changes, maintain rollback arrangements, and improve operational monitoring of critical services."/>
        <s v="Review and strengthen documented backup, recovery, and incident response procedures for critical banking systems."/>
        <s v="Strengthen continuity and incident response arrangements for digital service disruption and validate monitoring and escalation processes."/>
        <s v="Strengthen data access governance, monitoring, incident escalation, and compliance documentation for customer information."/>
        <s v="Strengthen privileged access governance, eliminate password sharing, and review privileged access rights regularly."/>
        <s v="Track the identified vulnerabilities to closure, apply appropriate remediation, and verify the results."/>
        <s v="Use controlled test information and strengthen documented separation between production and non-production environments."/>
      </sharedItems>
    </cacheField>
    <cacheField name="Annex A/Control Reference" uniqueList="1" numFmtId="0" sqlType="0" hierarchy="0" level="0" databaseField="1">
      <sharedItems count="20">
        <s v="A.5.12 Classification of information; A.5.15 Access control; A.5.18 Access rights"/>
        <s v="A.5.15 Access control; A.5.18 Access rights; A.8.2 Privileged access rights"/>
        <s v="A.5.18 Access rights; A.8.2 Privileged access rights; A.6.3 Information security awareness, education and training"/>
        <s v="A.5.19 Information security in supplier relationships; A.5.20 Addressing information security within supplier agreements; A.8.25 Secure development life cycle"/>
        <s v="A.5.23 Information security for use of cloud services; A.5.19 Information security in supplier relationships"/>
        <s v="A.5.29 Information security during disruption; A.5.30 ICT readiness for business continuity; A.5.37 Documented operating procedures"/>
        <s v="A.5.29 Information security during disruption; A.5.30 ICT readiness for business continuity; A.8.20 Networks security"/>
        <s v="A.5.37 Documented operating procedures; A.8.24 Use of cryptography"/>
        <s v="A.5.37 Documented operating procedures; A.8.8 Management of technical vulnerabilities"/>
        <s v="A.5.7 Threat intelligence"/>
        <s v="A.6.3 Information security awareness, education and training; A.5.14 Information transfer"/>
        <s v="A.6.3 Information security awareness, education and training; A.5.37 Documented operating procedures"/>
        <s v="A.8.1 User endpoint devices; A.8.24 Use of cryptography; A.6.3 Information security awareness, education and training"/>
        <s v="A.8.15 Logging; A.8.16 Monitoring activities; A.5.37 Documented operating procedures"/>
        <s v="A.8.26 Application security requirements; A.8.28 Secure coding; A.8.29 Security testing in development and acceptance"/>
        <s v="A.8.31 Separation of development, test and production environments; A.8.33 Test information"/>
        <s v="A.8.8 Management of technical vulnerabilities; A.8.20 Networks security; A.8.22 Segregation of networks"/>
        <s v="A.8.8 Management of technical vulnerabilities; A.8.26 Application security requirements; A.8.29 Security testing in development and acceptance"/>
        <s v="A.8.8 Management of technical vulnerabilities; A.8.9 Configuration management; A.5.37 Documented operating procedures"/>
        <s v="A.8.9 Configuration management; A.8.20 Networks security; A.5.37 Documented operating procedures"/>
      </sharedItems>
    </cacheField>
    <cacheField name="Treatment Cost" uniqueList="1" numFmtId="0" sqlType="0" hierarchy="0" level="0" databaseField="1">
      <sharedItems count="1" containsInteger="1" containsNumber="1" containsSemiMixedTypes="0" containsString="0" minValue="0" maxValue="0">
        <n v="0"/>
      </sharedItems>
    </cacheField>
    <cacheField name="Treatment Action Owner" uniqueList="1" numFmtId="0" sqlType="0" hierarchy="0" level="0" databaseField="1">
      <sharedItems count="14">
        <s v="Banking Applications Manager"/>
        <s v="CISO"/>
        <s v="HR and IT Managers"/>
        <s v="Incident Response Manager"/>
        <s v="Information Security Governance Manager"/>
        <s v="Infrastructure and Networks Manager"/>
        <s v="IT Governance Manager"/>
        <s v="IT Manager"/>
        <s v="IT Operations Manager"/>
        <s v="Network Manager"/>
        <s v="Risk and Vulnerability Assessment Manager"/>
        <s v="SOC Manager"/>
        <s v="Software Development Manager"/>
        <s v="Vendor Management and IT Management"/>
      </sharedItems>
    </cacheField>
    <cacheField name="Treatment Action Timescale" uniqueList="1" numFmtId="0" sqlType="0" hierarchy="0" level="0" databaseField="1">
      <sharedItems count="4">
        <s v="30 days"/>
        <s v="45 days"/>
        <s v="60 days"/>
        <s v="90 days"/>
      </sharedItems>
    </cacheField>
    <cacheField name="Treatment Action Progress" uniqueList="1" numFmtId="0" sqlType="0" hierarchy="0" level="0" databaseField="1">
      <sharedItems count="1">
        <s v="0%"/>
      </sharedItems>
    </cacheField>
    <cacheField name="Treatment Action Status" uniqueList="1" numFmtId="0" sqlType="0" hierarchy="0" level="0" databaseField="1">
      <sharedItems count="1">
        <s v="Not Started"/>
      </sharedItems>
    </cacheField>
    <cacheField name="Post-Treatment Likelihood" uniqueList="1" numFmtId="0" sqlType="0" hierarchy="0" level="0" databaseField="1">
      <sharedItems count="2" containsInteger="1" containsNumber="1" containsSemiMixedTypes="0" containsString="0" minValue="1" maxValue="2">
        <n v="1"/>
        <n v="2"/>
      </sharedItems>
    </cacheField>
    <cacheField name="Post-Treatment Likelihood Rationale" uniqueList="1" numFmtId="0" sqlType="0" hierarchy="0" level="0" databaseField="1">
      <sharedItems count="20">
        <s v="A structured process improves the likelihood that relevant threats are identified and communicated in time."/>
        <s v="Automated or scheduled monitoring and defined ownership reduce the likelihood of recurrence."/>
        <s v="Clear security requirements and supplier oversight reduce the probability of an unmanaged third-party weakness."/>
        <s v="Consistent monitoring and escalation reduce the likelihood of prolonged undetected activity."/>
        <s v="Controlled test information and separation reduce the likelihood of real-data exposure."/>
        <s v="Defined responsibilities and supplier oversight reduce the likelihood of unmanaged cloud security gaps."/>
        <s v="Documented recovery and response arrangements reduce the likelihood of prolonged impact."/>
        <s v="Formal tracking and ownership reduce the likelihood that known weaknesses remain unresolved."/>
        <s v="Full-disk encryption and faster reporting substantially reduce the probability and exposure of data compromise from a lost device."/>
        <s v="Improved governance and access review reduce the likelihood of unauthorized disclosure."/>
        <s v="Interim controls and documented management reduce the likelihood of uncontrolled exposure during the remaining lifecycle."/>
        <s v="Peer review and rollback arrangements reduce the likelihood and duration of configuration-related outages."/>
        <s v="Planned remediation and verification reduce the likelihood of exploitation."/>
        <s v="Prepared response and continuity arrangements reduce the likelihood of prolonged disruption."/>
        <s v="Remediation and verification reduce the probability of successful exploitation."/>
        <s v="Removal of excessive access and periodic reviews reduce the likelihood of unauthorized access."/>
        <s v="Stronger privileged-access governance and elimination of sharing reduce the probability of misuse."/>
        <s v="Targeted awareness and repeated practice reduce the likelihood of successful social engineering."/>
        <s v="Targeted awareness and verification procedures reduce the probability of successful phishing."/>
        <s v="The treatment reduces the likelihood of successful exploitation while the business impact of a compromised banking application remains high."/>
      </sharedItems>
    </cacheField>
    <cacheField name="Post- Treatment Impact" uniqueList="1" numFmtId="0" sqlType="0" hierarchy="0" level="0" databaseField="1">
      <sharedItems count="3" containsInteger="1" containsNumber="1" containsSemiMixedTypes="0" containsString="0" minValue="3" maxValue="5">
        <n v="3"/>
        <n v="4"/>
        <n v="5"/>
      </sharedItems>
    </cacheField>
    <cacheField name="Post-Treatment Impact Rationale" uniqueList="1" numFmtId="0" sqlType="0" hierarchy="0" level="0" databaseField="1">
      <sharedItems count="20">
        <s v="A certificate failure can still affect customer trust and digital service availability."/>
        <s v="A successful compromise could still affect sensitive customer and financial information."/>
        <s v="Afaq Plus remains customer-facing and business-critical."/>
        <s v="Core banking remains highly critical even after treatment."/>
        <s v="Customer data remains highly sensitive and its compromise would remain severe."/>
        <s v="Digital banking availability remains business-critical."/>
        <s v="Digital banking remains highly critical and a severe outage would have major customer impact."/>
        <s v="Employees remain an important control boundary for banking operations."/>
        <s v="Finance processes remain exposed to fraudulent requests and social engineering."/>
        <s v="HR information remains highly sensitive and requires strong confidentiality protection."/>
        <s v="Impact is material to employees and HR operations but narrower than core customer banking services."/>
        <s v="Internal infrastructure supports multiple banking services and remains important to availability and integrity."/>
        <s v="Monitoring improvements reduce exposure but cannot eliminate incident impact."/>
        <s v="Privileged access remains capable of causing severe impact."/>
        <s v="Residual exposure remains while technical weaknesses exist."/>
        <s v="Sensitive information would remain high impact if exposed."/>
        <s v="The information stored on endpoints remains sensitive."/>
        <s v="The platform remains business-critical and compromise could still have a significant effect."/>
        <s v="The systems are described as non-critical, reducing the expected business impact compared with core banking services."/>
        <s v="Threat intelligence supports prevention and response but does not itself remove all threats."/>
      </sharedItems>
    </cacheField>
    <cacheField name="Post-Treatment Risk Score" uniqueList="1" numFmtId="0" sqlType="0" hierarchy="0" level="0" databaseField="1">
      <sharedItems count="5" containsInteger="1" containsNumber="1" containsSemiMixedTypes="0" containsString="0" minValue="4" maxValue="10">
        <n v="4"/>
        <n v="5"/>
        <n v="6"/>
        <n v="8"/>
        <n v="10"/>
      </sharedItems>
    </cacheField>
    <cacheField name="Post-Treatment Risk Level" uniqueList="1" numFmtId="0" sqlType="0" hierarchy="0" level="0" databaseField="1">
      <sharedItems count="2">
        <s v=" LOW"/>
        <s v=" MEDIUM"/>
      </sharedItems>
    </cacheField>
    <cacheField name="Comments" uniqueList="1" numFmtId="0" sqlType="0" hierarchy="0" level="0" databaseField="1">
      <sharedItems count="20">
        <s v="A previous three-hour digital banking outage demonstrates the materiality of service availability risk."/>
        <s v="No evidence of actual unauthorized access was identified, but the exposure was material."/>
        <s v="Residual risk is Medium-Low in nature but retained as Medium by the template's scoring thresholds."/>
        <s v="Residual risk remains Medium because the network is essential to banking operations."/>
        <s v="Risk is retained as Medium after treatment because the service remains critical."/>
        <s v="The case study confirms a dedicated backup server and a disaster recovery site in Jeddah."/>
        <s v="The case study confirms the planned replacement timeframe."/>
        <s v="The case study explicitly identifies password sharing as a gap related to A.5.18 and A.8.2."/>
        <s v="The case study explicitly identifies the need for clear security requirements and a secure test environment for the mobile application company."/>
        <s v="The case study identified the absence of dual review, rapid rollback, and effective performance monitoring as weaknesses."/>
        <s v="The case study notes a need for cultural change and multilingual awareness materials."/>
        <s v="The case study records a later phishing simulation with 25% link-click rate and 12% credential submission."/>
        <s v="The case study records regulatory notification, customer notification, and additional identity-monitoring costs after the incident."/>
        <s v="The case study requires compliance with SAMA and SDAIA requirements and strong protection of customer information."/>
        <s v="The case study states that SIEM analysis is not automated and that monitoring weaknesses contributed to delayed detection."/>
        <s v="The incident caused significant social-media reputation damage and required a week of communications to restore confidence."/>
        <s v="The risk is directly supported by the case study's assessment of current threat-intelligence practices."/>
        <s v="The treatment directly addresses the case-study gaps identified for A.8.11, A.8.31, and A.8.33."/>
        <s v="This risk addresses the process weakness evidenced by repeated unresolved findings."/>
        <s v="Treatment priority is High because the case study records three high-risk vulnerabilities and only two had been remediated."/>
      </sharedItems>
    </cacheField>
  </cacheFields>
</pivotCacheDefinition>
</file>

<file path=xl/pivotCache/pivotCacheDefinition3.xml><?xml version="1.0" encoding="utf-8"?>
<pivotCacheDefinition xmlns:r="http://schemas.openxmlformats.org/officeDocument/2006/relationships" xmlns="http://schemas.openxmlformats.org/spreadsheetml/2006/main" createdVersion="3" recordCount="3" r:id="rId1">
  <cacheSource type="worksheet">
    <worksheetSource ref="B6:C9" sheet="Post-treatment risks"/>
  </cacheSource>
  <cacheFields count="2">
    <cacheField name="Risk level" uniqueList="1" numFmtId="0" sqlType="0" hierarchy="0" level="0" databaseField="1">
      <sharedItems count="3">
        <s v=" High"/>
        <s v=" Low"/>
        <s v=" Medium"/>
      </sharedItems>
    </cacheField>
    <cacheField name="Post-treatment" uniqueList="1" numFmtId="0" sqlType="0" hierarchy="0" level="0" databaseField="1">
      <sharedItems count="3" containsInteger="1" containsNumber="1" containsSemiMixedTypes="0" containsString="0" minValue="0" maxValue="19">
        <n v="0"/>
        <n v="1"/>
        <n v="19"/>
      </sharedItems>
    </cacheField>
  </cacheFields>
</pivotCacheDefinition>
</file>

<file path=xl/pivotCache/pivotCacheDefinition4.xml><?xml version="1.0" encoding="utf-8"?>
<pivotCacheDefinition xmlns:r="http://schemas.openxmlformats.org/officeDocument/2006/relationships" xmlns="http://schemas.openxmlformats.org/spreadsheetml/2006/main" createdVersion="3" recordCount="3" r:id="rId1">
  <cacheSource type="worksheet">
    <worksheetSource ref="B6:D9" sheet="Risks by risk level pre &amp; post"/>
  </cacheSource>
  <cacheFields count="3">
    <cacheField name="Risk level" uniqueList="1" numFmtId="0" sqlType="0" hierarchy="0" level="0" databaseField="1">
      <sharedItems count="3">
        <s v=" High"/>
        <s v=" Low"/>
        <s v=" Medium"/>
      </sharedItems>
    </cacheField>
    <cacheField name="Pre-treatment" uniqueList="1" numFmtId="0" sqlType="0" hierarchy="0" level="0" databaseField="1">
      <sharedItems count="3" containsInteger="1" containsNumber="1" containsSemiMixedTypes="0" containsString="0" minValue="0" maxValue="19">
        <n v="0"/>
        <n v="1"/>
        <n v="19"/>
      </sharedItems>
    </cacheField>
    <cacheField name="Post-treatment" uniqueList="1" numFmtId="0" sqlType="0" hierarchy="0" level="0" databaseField="1">
      <sharedItems count="3" containsInteger="1" containsNumber="1" containsSemiMixedTypes="0" containsString="0" minValue="0" maxValue="19">
        <n v="0"/>
        <n v="1"/>
        <n v="19"/>
      </sharedItems>
    </cacheField>
  </cacheFields>
</pivotCacheDefinition>
</file>

<file path=xl/pivotCache/pivotCacheRecords1.xml><?xml version="1.0" encoding="utf-8"?>
<pivotCacheRecords xmlns="http://schemas.openxmlformats.org/spreadsheetml/2006/main" count="3">
  <r>
    <x v="1"/>
    <x v="0"/>
  </r>
  <r>
    <x v="2"/>
    <x v="1"/>
  </r>
  <r>
    <x v="0"/>
    <x v="2"/>
  </r>
</pivotCacheRecords>
</file>

<file path=xl/pivotCache/pivotCacheRecords2.xml><?xml version="1.0" encoding="utf-8"?>
<pivotCacheRecords xmlns="http://schemas.openxmlformats.org/spreadsheetml/2006/main" count="3">
  <r>
    <x v="1"/>
    <x v="0"/>
  </r>
  <r>
    <x v="2"/>
    <x v="1"/>
  </r>
  <r>
    <x v="0"/>
    <x v="2"/>
  </r>
</pivotCacheRecords>
</file>

<file path=xl/pivotCache/pivotCacheRecords3.xml><?xml version="1.0" encoding="utf-8"?>
<pivotCacheRecords xmlns="http://schemas.openxmlformats.org/spreadsheetml/2006/main" count="3">
  <r>
    <x v="1"/>
    <x v="0"/>
  </r>
  <r>
    <x v="2"/>
    <x v="1"/>
  </r>
  <r>
    <x v="0"/>
    <x v="2"/>
  </r>
</pivotCacheRecords>
</file>

<file path=xl/pivotCache/pivotCacheRecords4.xml><?xml version="1.0" encoding="utf-8"?>
<pivotCacheRecords xmlns="http://schemas.openxmlformats.org/spreadsheetml/2006/main" count="3">
  <r>
    <x v="1"/>
    <x v="0"/>
  </r>
  <r>
    <x v="2"/>
    <x v="1"/>
  </r>
  <r>
    <x v="0"/>
    <x v="2"/>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3.xml" Id="rId1"/></Relationships>
</file>

<file path=xl/pivotTables/_rels/pivotTable4.xml.rels><Relationships xmlns="http://schemas.openxmlformats.org/package/2006/relationships"><Relationship Type="http://schemas.openxmlformats.org/officeDocument/2006/relationships/pivotCacheDefinition" Target="/xl/pivotCache/pivotCacheDefinition4.xml" Id="rId1"/></Relationships>
</file>

<file path=xl/pivotTables/_rels/pivotTable5.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6.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7.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8.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9.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10.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11.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PreTreatmentRisks" cacheId="1" dataOnRows="0" dataCaption="Values" showError="0" showMissing="1" updatedVersion="0" minRefreshableVersion="0" asteriskTotals="0" showItems="1" editData="0" disableFieldList="0" showCalcMbrs="1" visualTotals="1" showMultipleLabel="1" showDataDropDown="1" showDrill="0"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0"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B12:C15" firstHeaderRow="1" firstDataRow="1" firstDataCol="1"/>
  <pivotFields count="2">
    <pivotField axis="axisRow" showDropDowns="1" compact="0" outline="0" subtotalTop="1" dragToRow="1" dragToCol="1" dragToPage="1" dragToData="1" dragOff="1" showAll="0" topAutoShow="1" itemPageCount="10" sortType="manual" defaultSubtotal="0">
      <items count="3">
        <item t="data" sd="1" x="1"/>
        <item t="data" sd="1" x="2"/>
        <item t="data" sd="1" x="0"/>
      </items>
    </pivotField>
    <pivotField dataField="1" showDropDowns="1" compact="0" outline="0" subtotalTop="1" dragToRow="1" dragToCol="1" dragToPage="1" dragToData="1" dragOff="1" showAll="0" topAutoShow="1" itemPageCount="10" sortType="manual" defaultSubtotal="1"/>
  </pivotFields>
  <rowFields count="1">
    <field x="0"/>
  </rowFields>
  <dataFields count="1">
    <dataField name="Pre-treatment " fld="1" subtotal="sum" showDataAs="normal" baseField="-1" baseItem="1048832" numFmtId="164"/>
  </dataField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reTreatmentRisksByOwner" cacheId="2" dataOnRows="0" dataCaption="Values" showError="0" showMissing="1" updatedVersion="0" minRefreshableVersion="0" asteriskTotals="0" showItems="1" editData="0" disableFieldList="0" showCalcMbrs="1" visualTotals="1" showMultipleLabel="1" showDataDropDown="1" showDrill="0"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0"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B6:D16" firstHeaderRow="1" firstDataRow="1" firstDataCol="2"/>
  <pivotFields count="29">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0">
      <items count="10">
        <item t="data" sd="1" x="0"/>
        <item t="data" sd="1" x="1"/>
        <item t="data" sd="1" x="2"/>
        <item t="data" sd="1" x="3"/>
        <item t="data" sd="1" x="4"/>
        <item t="data" sd="1" x="5"/>
        <item t="data" sd="1" x="6"/>
        <item t="data" sd="1" x="7"/>
        <item t="data" sd="1" x="8"/>
        <item t="data" sd="1" x="9"/>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dataField="1" showDropDowns="1" compact="0" outline="0" subtotalTop="1" dragToRow="1" dragToCol="1" dragToPage="1" dragToData="1" dragOff="1" showAll="0" topAutoShow="1" itemPageCount="10" sortType="manual" defaultSubtotal="0">
      <items count="2">
        <item t="data" sd="1" x="0"/>
        <item t="data" sd="1" x="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s>
  <rowFields count="2">
    <field x="13"/>
    <field x="6"/>
  </rowFields>
  <dataFields count="1">
    <dataField name="Risk Level " fld="13" subtotal="count" showDataAs="normal" baseField="-1" baseItem="1048832" numFmtId="164"/>
  </dataField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PostTreatmentRisks" cacheId="3" dataOnRows="0" dataCaption="Values"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0"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B12:C15" firstHeaderRow="1" firstDataRow="1" firstDataCol="1"/>
  <pivotFields count="2">
    <pivotField axis="axisRow" showDropDowns="1" compact="0" outline="0" subtotalTop="1" dragToRow="1" dragToCol="1" dragToPage="1" dragToData="1" dragOff="1" showAll="0" topAutoShow="1" itemPageCount="10" sortType="manual" defaultSubtotal="0">
      <items count="3">
        <item t="data" sd="1" x="1"/>
        <item t="data" sd="1" x="2"/>
        <item t="data" sd="1" x="0"/>
      </items>
    </pivotField>
    <pivotField dataField="1" showDropDowns="1" compact="0" outline="0" subtotalTop="1" dragToRow="1" dragToCol="1" dragToPage="1" dragToData="1" dragOff="1" showAll="0" topAutoShow="1" itemPageCount="10" sortType="manual" defaultSubtotal="1"/>
  </pivotFields>
  <rowFields count="1">
    <field x="0"/>
  </rowFields>
  <dataFields count="1">
    <dataField name="Post-treatment " fld="1" subtotal="sum" showDataAs="normal" baseField="-1" baseItem="1048832" numFmtId="164"/>
  </dataField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RisksByRiskLevelPre&amp;PostTreatment" cacheId="4" dataOnRows="0" dataCaption="Values"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0"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B12:D16" firstHeaderRow="1" firstDataRow="2" firstDataCol="1"/>
  <pivotFields count="3">
    <pivotField axis="axisRow" showDropDowns="1" compact="0" outline="0" subtotalTop="1" dragToRow="1" dragToCol="1" dragToPage="1" dragToData="1" dragOff="1" showAll="0" topAutoShow="1" itemPageCount="10" sortType="manual" defaultSubtotal="0">
      <items count="3">
        <item t="data" sd="1" x="1"/>
        <item t="data" sd="1" x="2"/>
        <item t="data" sd="1" x="0"/>
      </items>
    </pivotField>
    <pivotField dataField="1" showDropDowns="1" compact="0" outline="0" subtotalTop="1" dragToRow="1" dragToCol="1" dragToPage="1" dragToData="1" dragOff="1" showAll="0" topAutoShow="1" itemPageCount="10" sortType="manual" defaultSubtotal="1"/>
    <pivotField dataField="1" showDropDowns="1" compact="0" outline="0" subtotalTop="1" dragToRow="1" dragToCol="1" dragToPage="1" dragToData="1" dragOff="1" showAll="0" topAutoShow="1" itemPageCount="10" sortType="manual" defaultSubtotal="1"/>
  </pivotFields>
  <rowFields count="1">
    <field x="0"/>
  </rowFields>
  <colFields count="1">
    <field x="-2"/>
  </colFields>
  <dataFields count="2">
    <dataField name="Pre-treatment " fld="1" subtotal="sum" showDataAs="normal" baseField="-1" baseItem="1048832" numFmtId="164"/>
    <dataField name="Post-treatment " fld="2" subtotal="sum" showDataAs="normal" baseField="-1" baseItem="1048832" numFmtId="164"/>
  </dataFields>
  <pivotTableStyleInfo name="PivotStyleLight16" showRowHeaders="1" showColHeaders="1" showRowStripes="0" showColStripes="0" showLastColumn="1"/>
</pivotTableDefinition>
</file>

<file path=xl/pivotTables/pivotTable5.xml><?xml version="1.0" encoding="utf-8"?>
<pivotTableDefinition xmlns:r="http://schemas.openxmlformats.org/officeDocument/2006/relationships" xmlns="http://schemas.openxmlformats.org/spreadsheetml/2006/main" name="RisksByTreatmentOption" cacheId="2" dataOnRows="0" dataCaption="Values"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0"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B6:C7" firstHeaderRow="1" firstDataRow="1" firstDataCol="1"/>
  <pivotFields count="29">
    <pivotField showDropDowns="1" compact="0" outline="0" subtotalTop="1" dragToRow="1" dragToCol="1" dragToPage="1" dragToData="1" dragOff="1" showAll="0" topAutoShow="1" itemPageCount="10" sortType="manual" defaultSubtotal="1"/>
    <pivotField dataField="1"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0">
      <items count="1">
        <item t="data" sd="1" x="0"/>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s>
  <rowFields count="1">
    <field x="14"/>
  </rowFields>
  <dataFields count="1">
    <dataField name="Count of Asset Group" fld="1" subtotal="count" showDataAs="normal" baseField="-1" baseItem="1048832" numFmtId="164"/>
  </dataFields>
  <pivotTableStyleInfo name="PivotStyleLight16" showRowHeaders="1" showColHeaders="1" showRowStripes="0" showColStripes="0" showLastColumn="1"/>
</pivotTableDefinition>
</file>

<file path=xl/pivotTables/pivotTable6.xml><?xml version="1.0" encoding="utf-8"?>
<pivotTableDefinition xmlns:r="http://schemas.openxmlformats.org/officeDocument/2006/relationships" xmlns="http://schemas.openxmlformats.org/spreadsheetml/2006/main" name="TreatmentCosts" cacheId="2" dataOnRows="0" dataCaption="Values"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0"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B6:C8" firstHeaderRow="1" firstDataRow="1" firstDataCol="1"/>
  <pivotFields count="29">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0">
      <items count="2">
        <item t="data" sd="1" x="0"/>
        <item t="data" sd="1" x="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dataField="1"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s>
  <rowFields count="1">
    <field x="13"/>
  </rowFields>
  <dataFields count="1">
    <dataField name="Sum of Treatment Cost" fld="17" subtotal="sum" showDataAs="normal" baseField="-1" baseItem="1048832" numFmtId="166"/>
  </dataFields>
  <pivotTableStyleInfo name="PivotStyleLight16" showRowHeaders="1" showColHeaders="1" showRowStripes="0" showColStripes="0" showLastColumn="1"/>
</pivotTableDefinition>
</file>

<file path=xl/pivotTables/pivotTable7.xml><?xml version="1.0" encoding="utf-8"?>
<pivotTableDefinition xmlns:r="http://schemas.openxmlformats.org/officeDocument/2006/relationships" xmlns="http://schemas.openxmlformats.org/spreadsheetml/2006/main" name="TreatmentActionOwner" cacheId="2" dataOnRows="0" dataCaption="Values"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0"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r:id="rId1">
  <location ref="B6:D21" firstHeaderRow="1" firstDataRow="2" firstDataCol="1"/>
  <pivotFields count="29">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Col" showDropDowns="1" compact="0" outline="0" subtotalTop="1" dragToRow="1" dragToCol="1" dragToPage="1" dragToData="1" dragOff="1" showAll="0" topAutoShow="1" itemPageCount="10" sortType="manual" defaultSubtotal="0">
      <items count="2">
        <item t="data" sd="1" x="0"/>
        <item t="data" sd="1" x="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dataField="1" showDropDowns="1" compact="0" outline="0" subtotalTop="1" dragToRow="1" dragToCol="1" dragToPage="1" dragToData="1" dragOff="1" showAll="0" topAutoShow="1" itemPageCount="10" sortType="manual" defaultSubtotal="0">
      <items count="14">
        <item t="data" sd="1" x="0"/>
        <item t="data" sd="1" x="1"/>
        <item t="data" sd="1" x="2"/>
        <item t="data" sd="1" x="3"/>
        <item t="data" sd="1" x="4"/>
        <item t="data" sd="1" x="5"/>
        <item t="data" sd="1" x="6"/>
        <item t="data" sd="1" x="7"/>
        <item t="data" sd="1" x="8"/>
        <item t="data" sd="1" x="9"/>
        <item t="data" sd="1" x="10"/>
        <item t="data" sd="1" x="11"/>
        <item t="data" sd="1" x="12"/>
        <item t="data" sd="1" x="13"/>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s>
  <rowFields count="1">
    <field x="18"/>
  </rowFields>
  <colFields count="1">
    <field x="13"/>
  </colFields>
  <dataFields count="1">
    <dataField name="Count of Treatment Action Owner" fld="18" subtotal="count" showDataAs="normal" baseField="-1" baseItem="1048832" numFmtId="164"/>
  </dataFields>
  <pivotTableStyleInfo name="PivotStyleLight16" showRowHeaders="1" showColHeaders="1" showRowStripes="0" showColStripes="0" showLastColumn="1"/>
</pivotTableDefinition>
</file>

<file path=xl/pivotTables/pivotTable8.xml><?xml version="1.0" encoding="utf-8"?>
<pivotTableDefinition xmlns:r="http://schemas.openxmlformats.org/officeDocument/2006/relationships" xmlns="http://schemas.openxmlformats.org/spreadsheetml/2006/main" name="PivotTable17" cacheId="2" dataOnRows="0" dataCaption="Values"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0"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0" r:id="rId1">
  <location ref="I8:L20" firstHeaderRow="1" firstDataRow="2" firstDataCol="1"/>
  <pivotFields count="29">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11">
        <item t="data" sd="1" x="0"/>
        <item t="data" sd="1" x="1"/>
        <item t="data" sd="1" x="2"/>
        <item t="data" sd="1" x="3"/>
        <item t="data" sd="1" x="4"/>
        <item t="data" sd="1" x="5"/>
        <item t="data" sd="1" x="6"/>
        <item t="data" sd="1" x="7"/>
        <item t="data" sd="1" x="8"/>
        <item t="data" sd="1" x="9"/>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6"/>
  </rowFields>
  <colFields count="1">
    <field x="13"/>
  </colFields>
  <dataFields count="1">
    <dataField name="Count of Risk Level" fld="13" subtotal="count" showDataAs="normal" baseField="-1" baseItem="1048832" numFmtId="164"/>
  </dataFields>
  <pivotTableStyleInfo name="PivotStyleLight16" showRowHeaders="1" showColHeaders="1" showRowStripes="0" showColStripes="0" showLastColumn="1"/>
</pivotTableDefinition>
</file>

<file path=xl/pivotTables/pivotTable9.xml><?xml version="1.0" encoding="utf-8"?>
<pivotTableDefinition xmlns:r="http://schemas.openxmlformats.org/officeDocument/2006/relationships" xmlns="http://schemas.openxmlformats.org/spreadsheetml/2006/main" name="PivotTable16" cacheId="2" dataOnRows="0" dataCaption="Values"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0"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0" r:id="rId1">
  <location ref="B8:E13" firstHeaderRow="1" firstDataRow="2" firstDataCol="1"/>
  <pivotFields count="29">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4">
        <item t="data" sd="1" x="0"/>
        <item t="data" sd="1" x="1"/>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5"/>
  </rowFields>
  <colFields count="1">
    <field x="13"/>
  </colFields>
  <dataFields count="1">
    <dataField name="Count of Risk Level" fld="13" subtotal="count" showDataAs="normal" baseField="-1" baseItem="1048832" numFmtId="164"/>
  </dataFields>
  <pivotTableStyleInfo name="PivotStyleLight16" showRowHeaders="1" showColHeaders="1" showRowStripes="0" showColStripes="0" showLastColumn="1"/>
</pivotTableDefinition>
</file>

<file path=xl/pivotTables/pivotTable10.xml><?xml version="1.0" encoding="utf-8"?>
<pivotTableDefinition xmlns:r="http://schemas.openxmlformats.org/officeDocument/2006/relationships" xmlns="http://schemas.openxmlformats.org/spreadsheetml/2006/main" name="PivotTable19" cacheId="2" dataOnRows="0" dataCaption="Values"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0"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0" r:id="rId1">
  <location ref="R15:S18" firstHeaderRow="1" firstDataRow="1" firstDataCol="1"/>
  <pivotFields count="29">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13"/>
  </rowFields>
  <dataFields count="1">
    <dataField name="Sum of Treatment Cost" fld="17" subtotal="sum" showDataAs="normal" baseField="-1" baseItem="1048832" numFmtId="166"/>
  </dataFields>
  <pivotTableStyleInfo name="PivotStyleLight16" showRowHeaders="1" showColHeaders="1" showRowStripes="0" showColStripes="0" showLastColumn="1"/>
</pivotTableDefinition>
</file>

<file path=xl/pivotTables/pivotTable11.xml><?xml version="1.0" encoding="utf-8"?>
<pivotTableDefinition xmlns:r="http://schemas.openxmlformats.org/officeDocument/2006/relationships" xmlns="http://schemas.openxmlformats.org/spreadsheetml/2006/main" name="PivotTable18" cacheId="2" dataOnRows="0" dataCaption="Values" showError="0" showMissing="1" updatedVersion="0" minRefreshableVersion="0"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0"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0" r:id="rId1">
  <location ref="O8:P10" firstHeaderRow="1" firstDataRow="1" firstDataCol="1"/>
  <pivotFields count="29">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14"/>
  </rowFields>
  <pivotTableStyleInfo name="PivotStyleLight16" showRowHeaders="1" showColHeaders="1" showRowStripes="0" showColStripes="0" showLastColumn="1"/>
</pivotTableDefinition>
</file>

<file path=xl/tables/table1.xml><?xml version="1.0" encoding="utf-8"?>
<table xmlns="http://schemas.openxmlformats.org/spreadsheetml/2006/main" id="1" name="RiskAssessment" displayName="RiskAssessment" ref="B13:AD33" headerRowCount="1" totalsRowCount="0" totalsRowShown="0">
  <autoFilter ref="B13:AD3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autoFilter>
  <tableColumns count="29">
    <tableColumn id="1" name="Ref"/>
    <tableColumn id="2" name="Asset Group"/>
    <tableColumn id="3" name="Asset"/>
    <tableColumn id="4" name="Threat"/>
    <tableColumn id="5" name="Vulnerability"/>
    <tableColumn id="6" name="Risk Type"/>
    <tableColumn id="7" name="Risk Owner"/>
    <tableColumn id="8" name="Existing Controls"/>
    <tableColumn id="9" name="Likelihood"/>
    <tableColumn id="10" name="Likelihood Rationale"/>
    <tableColumn id="11" name="Impact"/>
    <tableColumn id="12" name="Impact Rationale"/>
    <tableColumn id="13" name="Risk Score"/>
    <tableColumn id="14" name="Risk Level"/>
    <tableColumn id="15" name="Treatment Option Chosen"/>
    <tableColumn id="16" name="Proposed Treatment Action"/>
    <tableColumn id="17" name="Annex A/Control Reference"/>
    <tableColumn id="18" name="Treatment Cost"/>
    <tableColumn id="19" name="Treatment Action Owner"/>
    <tableColumn id="20" name="Treatment Action Timescale"/>
    <tableColumn id="21" name="Treatment Action Progress"/>
    <tableColumn id="22" name="Treatment Action Status"/>
    <tableColumn id="23" name="Post-Treatment Likelihood"/>
    <tableColumn id="24" name="Post-Treatment Likelihood Rationale"/>
    <tableColumn id="25" name="Post- Treatment Impact"/>
    <tableColumn id="26" name="Post-Treatment Impact Rationale"/>
    <tableColumn id="27" name="Post-Treatment Risk Score"/>
    <tableColumn id="28" name="Post-Treatment Risk Level"/>
    <tableColumn id="29" name="Comments"/>
  </tableColumns>
</table>
</file>

<file path=xl/tables/table2.xml><?xml version="1.0" encoding="utf-8"?>
<table xmlns="http://schemas.openxmlformats.org/spreadsheetml/2006/main" id="2" name="PreTreatmentRisksByRiskLevel" displayName="PreTreatmentRisksByRiskLevel" ref="B6:C9" headerRowCount="1" totalsRowCount="0" totalsRowShown="0">
  <autoFilter ref="B6:C9"/>
  <tableColumns count="2">
    <tableColumn id="1" name="Risk level"/>
    <tableColumn id="2" name="Pre-treatment"/>
  </tableColumns>
</table>
</file>

<file path=xl/tables/table3.xml><?xml version="1.0" encoding="utf-8"?>
<table xmlns="http://schemas.openxmlformats.org/spreadsheetml/2006/main" id="3" name="RisksByRiskLevelPreandPostTreatment10" displayName="RisksByRiskLevelPreandPostTreatment10" ref="B6:C9" headerRowCount="1" totalsRowCount="0" totalsRowShown="0">
  <autoFilter ref="B6:C9"/>
  <tableColumns count="2">
    <tableColumn id="1" name="Risk level"/>
    <tableColumn id="2" name="Post-treatment"/>
  </tableColumns>
</table>
</file>

<file path=xl/tables/table4.xml><?xml version="1.0" encoding="utf-8"?>
<table xmlns="http://schemas.openxmlformats.org/spreadsheetml/2006/main" id="4" name="PreMitigationRisksByRiskLevel10" displayName="PreMitigationRisksByRiskLevel10" ref="B6:D9" headerRowCount="1" totalsRowCount="0" totalsRowShown="0">
  <autoFilter ref="B6:D9"/>
  <tableColumns count="3">
    <tableColumn id="1" name="Risk level"/>
    <tableColumn id="2" name="Pre-treatment"/>
    <tableColumn id="3" name="Post-treatment"/>
  </tableColumns>
</table>
</file>

<file path=xl/tables/table5.xml><?xml version="1.0" encoding="utf-8"?>
<table xmlns="http://schemas.openxmlformats.org/spreadsheetml/2006/main" id="5" name="OnetoFive" displayName="OnetoFive" ref="B6:B12" headerRowCount="1" totalsRowCount="0" totalsRowShown="0">
  <autoFilter ref="B6:B12">
    <filterColumn colId="0" hiddenButton="1" showButton="1"/>
  </autoFilter>
  <tableColumns count="1">
    <tableColumn id="1" name="ONE TO FIVE"/>
  </tableColumns>
</table>
</file>

<file path=xl/tables/table6.xml><?xml version="1.0" encoding="utf-8"?>
<table xmlns="http://schemas.openxmlformats.org/spreadsheetml/2006/main" id="6" name="Options" displayName="Options" ref="E6:E11" headerRowCount="1" totalsRowCount="0" totalsRowShown="0">
  <autoFilter ref="E6:E11">
    <filterColumn colId="0" hiddenButton="1" showButton="1"/>
  </autoFilter>
  <tableColumns count="1">
    <tableColumn id="1" name="OPTIONS"/>
  </tableColumns>
</table>
</file>

<file path=xl/tables/table7.xml><?xml version="1.0" encoding="utf-8"?>
<table xmlns="http://schemas.openxmlformats.org/spreadsheetml/2006/main" id="7" name="Table4" displayName="Table4" ref="E15:E20" headerRowCount="1" totalsRowCount="0" totalsRowShown="0">
  <autoFilter ref="E15:E20">
    <filterColumn colId="0" hiddenButton="1" showButton="1"/>
  </autoFilter>
  <tableColumns count="1">
    <tableColumn id="1" name="TREATMENT ACTION STATUS"/>
  </tableColumns>
</table>
</file>

<file path=xl/tables/table8.xml><?xml version="1.0" encoding="utf-8"?>
<table xmlns="http://schemas.openxmlformats.org/spreadsheetml/2006/main" id="8" name="Table5" displayName="Table5" ref="B15:B23" headerRowCount="1" totalsRowCount="0" totalsRowShown="0">
  <autoFilter ref="B15:B23">
    <filterColumn colId="0" hiddenButton="1" showButton="1"/>
  </autoFilter>
  <tableColumns count="1">
    <tableColumn id="1" name="RISK TYPE"/>
  </tableColumns>
</table>
</file>

<file path=xl/tables/table9.xml><?xml version="1.0" encoding="utf-8"?>
<table xmlns="http://schemas.openxmlformats.org/spreadsheetml/2006/main" id="9" name="Table1" displayName="Table1" ref="R8:T11" headerRowCount="1" totalsRowCount="0" totalsRowShown="0">
  <autoFilter ref="R8:T11">
    <filterColumn colId="0" hiddenButton="1" showButton="1"/>
    <filterColumn colId="1" hiddenButton="1" showButton="1"/>
    <filterColumn colId="2" hiddenButton="1" showButton="1"/>
  </autoFilter>
  <tableColumns count="3">
    <tableColumn id="1" name="Risk level"/>
    <tableColumn id="2" name="Pre-Treatment"/>
    <tableColumn id="3" name="Post-Treatment"/>
  </tableColumns>
</table>
</file>

<file path=xl/theme/theme1.xml><?xml version="1.0" encoding="utf-8"?>
<a:theme xmlns:a="http://schemas.openxmlformats.org/drawingml/2006/main" xmlns:r="http://schemas.openxmlformats.org/officeDocument/2006/relationships" name="Al-Afaq Theme">
  <a:themeElements>
    <a:clrScheme name="Al-Afaq Excel Colours">
      <a:dk1>
        <a:srgbClr val="444444"/>
      </a:dk1>
      <a:lt1>
        <a:srgbClr val="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2.xml" Id="rId1"/><Relationship Type="http://schemas.openxmlformats.org/officeDocument/2006/relationships/pivotTable" Target="/xl/pivotTables/pivotTable1.xml" Id="rId2"/></Relationships>
</file>

<file path=xl/worksheets/_rels/sheet5.xml.rels><Relationships xmlns="http://schemas.openxmlformats.org/package/2006/relationships"><Relationship Type="http://schemas.openxmlformats.org/officeDocument/2006/relationships/pivotTable" Target="/xl/pivotTables/pivotTable2.xml" Id="rId1"/></Relationships>
</file>

<file path=xl/worksheets/_rels/sheet6.xml.rels><Relationships xmlns="http://schemas.openxmlformats.org/package/2006/relationships"><Relationship Type="http://schemas.openxmlformats.org/officeDocument/2006/relationships/table" Target="/xl/tables/table3.xml" Id="rId1"/><Relationship Type="http://schemas.openxmlformats.org/officeDocument/2006/relationships/pivotTable" Target="/xl/pivotTables/pivotTable3.xml" Id="rId2"/></Relationships>
</file>

<file path=xl/worksheets/_rels/sheet7.xml.rels><Relationships xmlns="http://schemas.openxmlformats.org/package/2006/relationships"><Relationship Type="http://schemas.openxmlformats.org/officeDocument/2006/relationships/table" Target="/xl/tables/table4.xml" Id="rId1"/><Relationship Type="http://schemas.openxmlformats.org/officeDocument/2006/relationships/pivotTable" Target="/xl/pivotTables/pivotTable4.xml" Id="rId2"/></Relationships>
</file>

<file path=xl/worksheets/_rels/sheet8.xml.rels><Relationships xmlns="http://schemas.openxmlformats.org/package/2006/relationships"><Relationship Type="http://schemas.openxmlformats.org/officeDocument/2006/relationships/pivotTable" Target="/xl/pivotTables/pivotTable5.xml" Id="rId1"/></Relationships>
</file>

<file path=xl/worksheets/_rels/sheet9.xml.rels><Relationships xmlns="http://schemas.openxmlformats.org/package/2006/relationships"><Relationship Type="http://schemas.openxmlformats.org/officeDocument/2006/relationships/pivotTable" Target="/xl/pivotTables/pivotTable6.xml" Id="rId1"/></Relationships>
</file>

<file path=xl/worksheets/_rels/sheet10.xml.rels><Relationships xmlns="http://schemas.openxmlformats.org/package/2006/relationships"><Relationship Type="http://schemas.openxmlformats.org/officeDocument/2006/relationships/pivotTable" Target="/xl/pivotTables/pivotTable7.xml" Id="rId1"/></Relationships>
</file>

<file path=xl/worksheets/_rels/sheet11.xml.rels><Relationships xmlns="http://schemas.openxmlformats.org/package/2006/relationships"><Relationship Type="http://schemas.openxmlformats.org/officeDocument/2006/relationships/table" Target="/xl/tables/table5.xml" Id="rId1"/><Relationship Type="http://schemas.openxmlformats.org/officeDocument/2006/relationships/table" Target="/xl/tables/table6.xml" Id="rId2"/><Relationship Type="http://schemas.openxmlformats.org/officeDocument/2006/relationships/table" Target="/xl/tables/table7.xml" Id="rId3"/><Relationship Type="http://schemas.openxmlformats.org/officeDocument/2006/relationships/table" Target="/xl/tables/table8.xml" Id="rId4"/></Relationships>
</file>

<file path=xl/worksheets/_rels/sheet12.xml.rels><Relationships xmlns="http://schemas.openxmlformats.org/package/2006/relationships"><Relationship Type="http://schemas.openxmlformats.org/officeDocument/2006/relationships/table" Target="/xl/tables/table9.xml" Id="rId1"/><Relationship Type="http://schemas.openxmlformats.org/officeDocument/2006/relationships/pivotTable" Target="/xl/pivotTables/pivotTable8.xml" Id="rId2"/><Relationship Type="http://schemas.openxmlformats.org/officeDocument/2006/relationships/pivotTable" Target="/xl/pivotTables/pivotTable9.xml" Id="rId3"/><Relationship Type="http://schemas.openxmlformats.org/officeDocument/2006/relationships/pivotTable" Target="/xl/pivotTables/pivotTable10.xml" Id="rId4"/><Relationship Type="http://schemas.openxmlformats.org/officeDocument/2006/relationships/pivotTable" Target="/xl/pivotTables/pivotTable11.xml" Id="rId5"/></Relationships>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15" customWidth="1" style="104" min="1" max="1"/>
  </cols>
  <sheetData>
    <row r="1">
      <c r="A1" s="199" t="inlineStr">
        <is>
          <t>تقرير التصحيح — Risk Assessment Tool</t>
        </is>
      </c>
    </row>
    <row r="2">
      <c r="A2" s="200" t="n"/>
    </row>
    <row r="3">
      <c r="A3" s="200" t="inlineStr">
        <is>
          <t>المشكلة: صيغة Excel في عمودي 'Risk Level' و'Post-Treatment Risk Level' لم تكن تحتوي على فئة CRITICAL إطلاقًا،</t>
        </is>
      </c>
    </row>
    <row r="4">
      <c r="A4" s="200" t="inlineStr">
        <is>
          <t>رغم أن بيان شهية المخاطر يحدد نطاق 16-25 كـ Critical. لذلك كانت المخاطر بدرجة 16 و20 تظهر دائمًا 'HIGH' بالخطأ.</t>
        </is>
      </c>
    </row>
    <row r="5">
      <c r="A5" s="200" t="n"/>
    </row>
    <row r="6">
      <c r="A6" s="200" t="inlineStr">
        <is>
          <t>الإصلاح: تم تعديل الصيغة في 20 صفًا (كلا العمودين) لإضافة الشرط: IF(Score&gt;15,"CRITICAL", ...).</t>
        </is>
      </c>
    </row>
    <row r="7">
      <c r="A7" s="200" t="inlineStr">
        <is>
          <t>الخلايا المصححة مظللة بالأصفر. افتحوا الملف في Excel وسيُعاد الحساب تلقائيًا (fullCalcOnLoad مفعّل).</t>
        </is>
      </c>
    </row>
    <row r="8">
      <c r="A8" s="200" t="n"/>
    </row>
    <row r="9">
      <c r="A9" s="201" t="inlineStr">
        <is>
          <t>⚠️ ملاحظة مهمة — قيد معروف لم يُصلح:</t>
        </is>
      </c>
    </row>
    <row r="10">
      <c r="A10" s="200" t="inlineStr">
        <is>
          <t>الأوراق المخفية 'Pre-treatment risks' و'Post-treatment risks' (تغذّي الرسوم البيانية في تبويب Dashboard)</t>
        </is>
      </c>
    </row>
    <row r="11">
      <c r="A11" s="200" t="inlineStr">
        <is>
          <t>تستخدم جدول بحث ثابت بـ3 فئات فقط (Low/Medium/High) عبر COUNTIF — لا يحتوي على فئة Critical.</t>
        </is>
      </c>
    </row>
    <row r="12">
      <c r="A12" s="200" t="inlineStr">
        <is>
          <t>بعد هذا التصحيح، ستُحسب المخاطر ذات المستوى 'Critical' كـ 0 في هذه الرسوم البيانية تحديدًا (رغم ظهورها بشكل صحيح في جدول Risk Assessment نفسه).</t>
        </is>
      </c>
    </row>
    <row r="13">
      <c r="A13" s="200" t="inlineStr">
        <is>
          <t>لإصلاح هذا بشكل كامل يجب توسيع جداول Excel الداخلية (Pivot Tables) لإضافة صف Critical، وهو تعديل هيكلي أعمق لم أنفذه تفاديًا لخطر كسر الرسوم البيانية المرتبطة.</t>
        </is>
      </c>
    </row>
    <row r="14">
      <c r="A14" s="200" t="inlineStr">
        <is>
          <t>التوصية: في العرض التقديمي، اعتمدوا على عمود 'Risk Level' في جدول Risk Assessment مباشرة (المصحح والصحيح)، وليس على رسم Dashboard البياني للمستويات.</t>
        </is>
      </c>
    </row>
  </sheetData>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A2:C20"/>
  <sheetViews>
    <sheetView showFormulas="0" showGridLines="0" showRowColHeaders="1" showZeros="1" rightToLeft="0" tabSelected="0" showOutlineSymbols="1" defaultGridColor="1" view="normal" topLeftCell="A1" colorId="64" zoomScale="103" zoomScaleNormal="103" zoomScalePageLayoutView="100" workbookViewId="0">
      <selection pane="topLeft" activeCell="C15" activeCellId="0" sqref="C15"/>
    </sheetView>
  </sheetViews>
  <sheetFormatPr baseColWidth="8" defaultColWidth="9.11328125" defaultRowHeight="14.25" zeroHeight="0" outlineLevelRow="0"/>
  <cols>
    <col width="2.89" customWidth="1" style="103" min="1" max="1"/>
    <col width="25" customWidth="1" style="103" min="2" max="2"/>
    <col width="83.67" customWidth="1" style="103" min="3" max="3"/>
    <col width="9.109999999999999" customWidth="1" style="103" min="4" max="16384"/>
  </cols>
  <sheetData>
    <row r="2" ht="14.25" customHeight="1" s="104">
      <c r="B2" s="105" t="n"/>
    </row>
    <row r="3" ht="14.25" customHeight="1" s="104">
      <c r="B3" s="105" t="n"/>
    </row>
    <row r="4" ht="14.25" customHeight="1" s="104">
      <c r="B4" s="105" t="n"/>
    </row>
    <row r="5" ht="14.25" customHeight="1" s="104">
      <c r="B5" s="105" t="n"/>
    </row>
    <row r="6" ht="14.25" customHeight="1" s="104">
      <c r="B6" s="105" t="n"/>
    </row>
    <row r="8" ht="19.7" customHeight="1" s="104">
      <c r="B8" s="106" t="inlineStr">
        <is>
          <t>Assessment Details</t>
        </is>
      </c>
    </row>
    <row r="10" ht="40.25" customHeight="1" s="104">
      <c r="A10" s="107" t="n"/>
      <c r="B10" s="108" t="inlineStr">
        <is>
          <t>Security Classification</t>
        </is>
      </c>
      <c r="C10" s="109" t="inlineStr">
        <is>
          <t>Internal</t>
        </is>
      </c>
    </row>
    <row r="11" ht="40.25" customHeight="1" s="104">
      <c r="A11" s="107" t="n"/>
      <c r="B11" s="110" t="inlineStr">
        <is>
          <t>Risk Assessment Title</t>
        </is>
      </c>
      <c r="C11" s="111" t="inlineStr">
        <is>
          <t>Al-Afaq Digital Bank Information Security Risk Assessment</t>
        </is>
      </c>
    </row>
    <row r="12" ht="59.7" customHeight="1" s="104">
      <c r="A12" s="107" t="n"/>
      <c r="B12" s="108" t="inlineStr">
        <is>
          <t>Risk Assessment Scope</t>
        </is>
      </c>
      <c r="C12" s="109" t="inlineStr">
        <is>
          <t>Information assets, banking applications, supporting infrastructure, personnel, suppliers, and digital banking services within the Al-Afaq Digital Bank ISMS context.</t>
        </is>
      </c>
    </row>
    <row r="13" ht="98.5" customHeight="1" s="104">
      <c r="A13" s="107" t="n"/>
      <c r="B13" s="110" t="inlineStr">
        <is>
          <t>Context of Risk Assessment</t>
        </is>
      </c>
      <c r="C13" s="111" t="inlineStr">
        <is>
          <t>The assessment reflects the Saudi banking environment, SAMA cybersecurity requirements, SDAIA personal data protection requirements, extensive digital banking use, identified cyber threats, previous security incidents, existing security controls, and current technology and organizational conditions described in the case study.</t>
        </is>
      </c>
    </row>
    <row r="14" ht="98.5" customHeight="1" s="104">
      <c r="A14" s="107" t="n"/>
      <c r="B14" s="112" t="inlineStr">
        <is>
          <t>Risk Acceptance Criteria</t>
        </is>
      </c>
      <c r="C14" s="113" t="inlineStr">
        <is>
          <t>Risks rated Low after considering existing controls and treatment may be accepted when they remain within the bank's risk appetite and do not create a significant regulatory, customer, financial, confidentiality, integrity, or availability exposure. Medium and High risks require treatment or documented management approval.</t>
        </is>
      </c>
    </row>
    <row r="15" ht="20.85" customHeight="1" s="104">
      <c r="A15" s="107" t="n"/>
      <c r="B15" s="108" t="inlineStr">
        <is>
          <t>Version</t>
        </is>
      </c>
      <c r="C15" s="109" t="inlineStr">
        <is>
          <t>1</t>
        </is>
      </c>
    </row>
    <row r="16" ht="20.85" customHeight="1" s="104">
      <c r="A16" s="107" t="n"/>
      <c r="B16" s="112" t="inlineStr">
        <is>
          <t>Dated</t>
        </is>
      </c>
      <c r="C16" s="114" t="inlineStr">
        <is>
          <t>12 September 2026</t>
        </is>
      </c>
    </row>
    <row r="17" ht="20.25" customHeight="1" s="104">
      <c r="A17" s="107" t="n"/>
      <c r="B17" s="108" t="inlineStr">
        <is>
          <t>Risk Assessors</t>
        </is>
      </c>
      <c r="C17" s="115" t="inlineStr">
        <is>
          <t>Shiban , Eyad , Rayan ,Bashar and Alshreef</t>
        </is>
      </c>
    </row>
    <row r="18" ht="79.09999999999999" customHeight="1" s="104">
      <c r="A18" s="107" t="n"/>
      <c r="B18" s="108" t="inlineStr">
        <is>
          <t>Risk Assessment Participants</t>
        </is>
      </c>
      <c r="C18" s="109" t="inlineStr">
        <is>
          <t>CISO, CIO, Information Security Governance Team, SOC Team, Incident Response Team, Risk and Vulnerability Assessment Team, Network Management, Database Management, and Banking Application Development representatives.</t>
        </is>
      </c>
    </row>
    <row r="19" ht="20.85" customHeight="1" s="104">
      <c r="A19" s="107" t="n"/>
      <c r="B19" s="112" t="inlineStr">
        <is>
          <t>Approval</t>
        </is>
      </c>
      <c r="C19" s="111" t="inlineStr">
        <is>
          <t>Chief Information Security Officer, Al-Afaq Digital Bank</t>
        </is>
      </c>
    </row>
    <row r="20" ht="20.85" customHeight="1" s="104">
      <c r="A20" s="107" t="n"/>
      <c r="B20" s="108" t="inlineStr">
        <is>
          <t>Date Approved</t>
        </is>
      </c>
      <c r="C20" s="116" t="inlineStr">
        <is>
          <t>12 September 2026</t>
        </is>
      </c>
    </row>
  </sheetData>
  <printOptions horizontalCentered="0" verticalCentered="0" headings="0" gridLines="0" gridLinesSet="1"/>
  <pageMargins left="0.708333333333333" right="0.708333333333333" top="0.747916666666667" bottom="0.748611111111111" header="0.511811023622047" footer="0.315277777777778"/>
  <pageSetup orientation="portrait" paperSize="9" scale="100" fitToHeight="1" fitToWidth="1" pageOrder="downThenOver" blackAndWhite="0" draft="0" horizontalDpi="300" verticalDpi="300" copies="1"/>
  <headerFooter differentOddEven="0" differentFirst="0">
    <oddHeader/>
    <oddFooter>&amp;L&amp;D&amp;CPage &amp;P of &amp;N&amp;R[Insert classification]</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1"/>
  </sheetPr>
  <dimension ref="B2:AO33"/>
  <sheetViews>
    <sheetView showFormulas="0" showGridLines="0" showRowColHeaders="1" showZeros="1" rightToLeft="0" tabSelected="1" showOutlineSymbols="1" defaultGridColor="1" view="normal" topLeftCell="A1" colorId="64" zoomScale="103" zoomScaleNormal="103" zoomScalePageLayoutView="100" workbookViewId="0">
      <selection pane="topLeft" activeCell="F13" activeCellId="0" sqref="F13"/>
    </sheetView>
  </sheetViews>
  <sheetFormatPr baseColWidth="8" defaultColWidth="9.11328125" defaultRowHeight="14.25" zeroHeight="0" outlineLevelRow="0"/>
  <cols>
    <col width="2.89" customWidth="1" style="117" min="1" max="1"/>
    <col width="4.33" customWidth="1" style="117" min="2" max="2"/>
    <col width="15.89" customWidth="1" style="117" min="3" max="3"/>
    <col width="21.11" customWidth="1" style="117" min="4" max="6"/>
    <col width="10.11" customWidth="1" style="117" min="7" max="7"/>
    <col width="12.67" customWidth="1" style="117" min="8" max="8"/>
    <col width="15.11" customWidth="1" style="117" min="9" max="9"/>
    <col width="10.56" customWidth="1" style="117" min="10" max="10"/>
    <col width="18.34" customWidth="1" style="117" min="11" max="11"/>
    <col width="10.67" customWidth="1" style="117" min="12" max="12"/>
    <col width="18.34" customWidth="1" style="117" min="13" max="13"/>
    <col width="11.67" customWidth="1" style="117" min="14" max="14"/>
    <col width="13.44" customWidth="1" style="117" min="15" max="15"/>
    <col width="11.67" customWidth="1" style="117" min="16" max="16"/>
    <col width="17.11" customWidth="1" style="117" min="17" max="17"/>
    <col width="15.11" customWidth="1" style="117" min="18" max="18"/>
    <col width="12.45" customWidth="1" style="117" min="19" max="19"/>
    <col width="13.11" customWidth="1" style="117" min="20" max="20"/>
    <col width="14.89" customWidth="1" style="117" min="21" max="21"/>
    <col width="11.89" customWidth="1" style="117" min="22" max="22"/>
    <col width="14.89" customWidth="1" style="117" min="23" max="23"/>
    <col width="11.33" customWidth="1" style="117" min="24" max="24"/>
    <col width="12.55" customWidth="1" style="117" min="25" max="25"/>
    <col width="14.56" customWidth="1" style="117" min="26" max="26"/>
    <col width="10.89" customWidth="1" style="117" min="27" max="27"/>
    <col width="11" customWidth="1" style="117" min="28" max="28"/>
    <col width="11.55" customWidth="1" style="117" min="29" max="29"/>
    <col width="18.11" customWidth="1" style="117" min="30" max="30"/>
    <col width="9.109999999999999" customWidth="1" style="117" min="31" max="16384"/>
  </cols>
  <sheetData>
    <row r="2" ht="15" customHeight="1" s="104">
      <c r="D2" s="118" t="n"/>
      <c r="E2" s="118" t="n"/>
      <c r="F2" s="118" t="n"/>
      <c r="G2" s="119" t="n"/>
      <c r="H2" s="118" t="n"/>
      <c r="I2" s="118" t="n"/>
      <c r="J2" s="118" t="n"/>
      <c r="L2" s="118" t="n"/>
      <c r="M2" s="118" t="n"/>
      <c r="N2" s="118" t="n"/>
      <c r="O2" s="118" t="n"/>
      <c r="P2" s="118" t="n"/>
      <c r="Q2" s="118" t="n"/>
      <c r="R2" s="118" t="n"/>
    </row>
    <row r="4" ht="14.25" customHeight="1" s="104">
      <c r="D4" s="118" t="n"/>
      <c r="E4" s="118" t="n"/>
      <c r="F4" s="118" t="n"/>
      <c r="G4" s="120" t="n"/>
      <c r="H4" s="118" t="n"/>
      <c r="I4" s="118" t="n"/>
      <c r="J4" s="118" t="n"/>
      <c r="K4" s="118" t="n"/>
      <c r="L4" s="118" t="n"/>
      <c r="M4" s="118" t="n"/>
      <c r="N4" s="118" t="n"/>
      <c r="O4" s="118" t="n"/>
      <c r="P4" s="118" t="n"/>
      <c r="Q4" s="118" t="n"/>
      <c r="R4" s="118" t="n"/>
    </row>
    <row r="5" ht="14.25" customHeight="1" s="104">
      <c r="D5" s="118" t="n"/>
      <c r="E5" s="118" t="n"/>
      <c r="F5" s="118" t="n"/>
      <c r="G5" s="120" t="n"/>
      <c r="H5" s="118" t="n"/>
      <c r="I5" s="118" t="n"/>
      <c r="J5" s="118" t="n"/>
      <c r="K5" s="118" t="n"/>
      <c r="L5" s="118" t="n"/>
      <c r="M5" s="118" t="n"/>
      <c r="N5" s="118" t="n"/>
      <c r="O5" s="118" t="n"/>
      <c r="P5" s="118" t="n"/>
      <c r="Q5" s="118" t="n"/>
      <c r="R5" s="118" t="n"/>
    </row>
    <row r="6" ht="14.25" customHeight="1" s="104">
      <c r="D6" s="118" t="n"/>
      <c r="E6" s="118" t="n"/>
      <c r="F6" s="118" t="n"/>
      <c r="G6" s="120" t="n"/>
      <c r="H6" s="118" t="n"/>
      <c r="I6" s="118" t="n"/>
      <c r="J6" s="118" t="n"/>
      <c r="K6" s="118" t="n"/>
      <c r="L6" s="118" t="n"/>
      <c r="M6" s="118" t="n"/>
      <c r="N6" s="118" t="n"/>
      <c r="O6" s="118" t="n"/>
      <c r="P6" s="118" t="n"/>
      <c r="Q6" s="118" t="n"/>
      <c r="R6" s="118" t="n"/>
    </row>
    <row r="7" ht="14.25" customHeight="1" s="104">
      <c r="D7" s="118" t="n"/>
      <c r="E7" s="118" t="n"/>
      <c r="F7" s="118" t="n"/>
      <c r="G7" s="120" t="n"/>
      <c r="H7" s="118" t="n"/>
      <c r="I7" s="118" t="n"/>
      <c r="J7" s="118" t="n"/>
      <c r="K7" s="118" t="n"/>
      <c r="L7" s="118" t="n"/>
      <c r="M7" s="118" t="n"/>
      <c r="N7" s="118" t="n"/>
      <c r="O7" s="118" t="n"/>
      <c r="P7" s="118" t="n"/>
      <c r="Q7" s="118" t="n"/>
      <c r="R7" s="118" t="n"/>
    </row>
    <row r="8" ht="19.7" customHeight="1" s="104">
      <c r="B8" s="106" t="inlineStr">
        <is>
          <t>Asset-Based Risk Assessment and Treatment Tool</t>
        </is>
      </c>
      <c r="D8" s="118" t="n"/>
      <c r="E8" s="118" t="n"/>
      <c r="F8" s="118" t="n"/>
      <c r="G8" s="120" t="n"/>
      <c r="H8" s="118" t="n"/>
      <c r="I8" s="118" t="n"/>
      <c r="J8" s="118" t="n"/>
      <c r="K8" s="118" t="n"/>
      <c r="L8" s="118" t="n"/>
      <c r="M8" s="118" t="n"/>
      <c r="N8" s="118" t="n"/>
      <c r="O8" s="118" t="n"/>
      <c r="P8" s="118" t="n"/>
      <c r="Q8" s="118" t="n"/>
      <c r="R8" s="118" t="n"/>
    </row>
    <row r="9" ht="14.25" customHeight="1" s="104">
      <c r="B9" s="121" t="inlineStr">
        <is>
          <t>Asset-based risk assessment for Al-Afaq Digital Bank covering material information security risks identified from the case study.</t>
        </is>
      </c>
      <c r="C9" s="121" t="n"/>
      <c r="D9" s="122" t="n"/>
      <c r="E9" s="122" t="n"/>
      <c r="F9" s="122" t="n"/>
      <c r="G9" s="123" t="inlineStr">
        <is>
          <t xml:space="preserve"> </t>
        </is>
      </c>
      <c r="H9" s="123" t="inlineStr">
        <is>
          <t xml:space="preserve"> </t>
        </is>
      </c>
      <c r="I9" s="118" t="n"/>
      <c r="J9" s="118" t="n"/>
      <c r="K9" s="118" t="n"/>
      <c r="L9" s="118" t="n"/>
      <c r="M9" s="118" t="n"/>
      <c r="N9" s="118" t="n"/>
      <c r="O9" s="118" t="n"/>
      <c r="P9" s="118" t="n"/>
      <c r="Q9" s="118" t="n"/>
      <c r="R9" s="118" t="n"/>
    </row>
    <row r="10" ht="15" customHeight="1" s="104">
      <c r="B10" s="124" t="inlineStr">
        <is>
          <t>Assessment date: 12 September 2026 | Document author: Shiban Mohammed Ali Hussein Shiban | Classification: Internal</t>
        </is>
      </c>
      <c r="C10" s="125" t="n"/>
      <c r="D10" s="125" t="n"/>
      <c r="E10" s="125" t="n"/>
      <c r="F10" s="123" t="inlineStr">
        <is>
          <t xml:space="preserve"> </t>
        </is>
      </c>
      <c r="G10" s="125" t="n"/>
      <c r="H10" s="125" t="n"/>
      <c r="I10" s="125" t="n"/>
      <c r="J10" s="118" t="n"/>
      <c r="K10" s="118" t="n"/>
      <c r="L10" s="118" t="n"/>
      <c r="M10" s="118" t="n"/>
      <c r="N10" s="118" t="n"/>
      <c r="O10" s="118" t="n"/>
      <c r="P10" s="118" t="n"/>
      <c r="Q10" s="118" t="n"/>
      <c r="R10" s="118" t="n"/>
    </row>
    <row r="11" ht="15" customHeight="1" s="104">
      <c r="D11" s="118" t="n"/>
      <c r="E11" s="118" t="n"/>
      <c r="F11" s="118" t="n"/>
      <c r="G11" s="120" t="n"/>
      <c r="H11" s="118" t="n"/>
      <c r="I11" s="118" t="n"/>
      <c r="J11" s="118" t="n"/>
      <c r="K11" s="118" t="n"/>
      <c r="L11" s="118" t="n"/>
      <c r="M11" s="118" t="n"/>
      <c r="N11" s="118" t="n"/>
      <c r="O11" s="118" t="n"/>
      <c r="P11" s="118" t="n"/>
      <c r="Q11" s="118" t="n"/>
      <c r="R11" s="118" t="n"/>
    </row>
    <row r="12" ht="22.5" customHeight="1" s="104">
      <c r="B12" s="126" t="inlineStr">
        <is>
          <t xml:space="preserve"> RISK DESCRIPTION</t>
        </is>
      </c>
      <c r="H12" s="127" t="n"/>
      <c r="I12" s="128" t="inlineStr">
        <is>
          <t xml:space="preserve"> PRE-TREATMENT ASSESSMENT</t>
        </is>
      </c>
      <c r="O12" s="127" t="n"/>
      <c r="P12" s="128" t="inlineStr">
        <is>
          <t xml:space="preserve"> TREATMENT PLAN</t>
        </is>
      </c>
      <c r="W12" s="127" t="n"/>
      <c r="X12" s="129" t="inlineStr">
        <is>
          <t xml:space="preserve"> POST-TREATMENT ASSESSMENT</t>
        </is>
      </c>
    </row>
    <row r="13" ht="61.15" customHeight="1" s="104">
      <c r="B13" s="125" t="inlineStr">
        <is>
          <t>Ref</t>
        </is>
      </c>
      <c r="C13" s="125" t="inlineStr">
        <is>
          <t>Asset Group</t>
        </is>
      </c>
      <c r="D13" s="125" t="inlineStr">
        <is>
          <t>Asset</t>
        </is>
      </c>
      <c r="E13" s="125" t="inlineStr">
        <is>
          <t>Threat</t>
        </is>
      </c>
      <c r="F13" s="125" t="inlineStr">
        <is>
          <t>Vulnerability</t>
        </is>
      </c>
      <c r="G13" s="125" t="inlineStr">
        <is>
          <t>Risk Type</t>
        </is>
      </c>
      <c r="H13" s="125" t="inlineStr">
        <is>
          <t>Risk Owner</t>
        </is>
      </c>
      <c r="I13" s="125" t="inlineStr">
        <is>
          <t>Existing Controls</t>
        </is>
      </c>
      <c r="J13" s="125" t="inlineStr">
        <is>
          <t>Likelihood</t>
        </is>
      </c>
      <c r="K13" s="125" t="inlineStr">
        <is>
          <t>Likelihood Rationale</t>
        </is>
      </c>
      <c r="L13" s="125" t="inlineStr">
        <is>
          <t>Impact</t>
        </is>
      </c>
      <c r="M13" s="125" t="inlineStr">
        <is>
          <t>Impact Rationale</t>
        </is>
      </c>
      <c r="N13" s="125" t="inlineStr">
        <is>
          <t>Risk Score</t>
        </is>
      </c>
      <c r="O13" s="125" t="inlineStr">
        <is>
          <t>Risk Level</t>
        </is>
      </c>
      <c r="P13" s="125" t="inlineStr">
        <is>
          <t>Treatment Option Chosen</t>
        </is>
      </c>
      <c r="Q13" s="125" t="inlineStr">
        <is>
          <t>Proposed Treatment Action</t>
        </is>
      </c>
      <c r="R13" s="125" t="inlineStr">
        <is>
          <t>Annex A/Control Reference</t>
        </is>
      </c>
      <c r="S13" s="125" t="inlineStr">
        <is>
          <t>Treatment Cost</t>
        </is>
      </c>
      <c r="T13" s="125" t="inlineStr">
        <is>
          <t>Treatment Action Owner</t>
        </is>
      </c>
      <c r="U13" s="125" t="inlineStr">
        <is>
          <t>Treatment Action Timescale</t>
        </is>
      </c>
      <c r="V13" s="125" t="inlineStr">
        <is>
          <t>Treatment Action Progress</t>
        </is>
      </c>
      <c r="W13" s="125" t="inlineStr">
        <is>
          <t>Treatment Action Status</t>
        </is>
      </c>
      <c r="X13" s="125" t="inlineStr">
        <is>
          <t>Post-Treatment Likelihood</t>
        </is>
      </c>
      <c r="Y13" s="125" t="inlineStr">
        <is>
          <t>Post-Treatment Likelihood Rationale</t>
        </is>
      </c>
      <c r="Z13" s="125" t="inlineStr">
        <is>
          <t>Post- Treatment Impact</t>
        </is>
      </c>
      <c r="AA13" s="125" t="inlineStr">
        <is>
          <t>Post-Treatment Impact Rationale</t>
        </is>
      </c>
      <c r="AB13" s="125" t="inlineStr">
        <is>
          <t>Post-Treatment Risk Score</t>
        </is>
      </c>
      <c r="AC13" s="125" t="inlineStr">
        <is>
          <t>Post-Treatment Risk Level</t>
        </is>
      </c>
      <c r="AD13" s="125" t="inlineStr">
        <is>
          <t>Comments</t>
        </is>
      </c>
      <c r="AE13" s="130" t="n"/>
      <c r="AF13" s="130" t="n"/>
      <c r="AG13" s="130" t="n"/>
      <c r="AH13" s="130" t="n"/>
      <c r="AI13" s="130" t="n"/>
      <c r="AJ13" s="130" t="n"/>
      <c r="AK13" s="130" t="n"/>
      <c r="AL13" s="130" t="n"/>
      <c r="AM13" s="130" t="n"/>
      <c r="AN13" s="130" t="n"/>
      <c r="AO13" s="130" t="n"/>
    </row>
    <row r="14" ht="195.5" customHeight="1" s="104">
      <c r="B14" s="131" t="n">
        <v>1</v>
      </c>
      <c r="C14" s="131" t="inlineStr">
        <is>
          <t>Applications</t>
        </is>
      </c>
      <c r="D14" s="131" t="inlineStr">
        <is>
          <t>Afaq Plus mobile banking application</t>
        </is>
      </c>
      <c r="E14" s="131" t="inlineStr">
        <is>
          <t>Exploitation of application vulnerabilities</t>
        </is>
      </c>
      <c r="F14" s="131" t="inlineStr">
        <is>
          <t>Three high-risk vulnerabilities related to insufficient input validation may permit SQL injection.</t>
        </is>
      </c>
      <c r="G14" s="131" t="inlineStr">
        <is>
          <t>CIA</t>
        </is>
      </c>
      <c r="H14" s="131" t="inlineStr">
        <is>
          <t>Head of Banking Applications</t>
        </is>
      </c>
      <c r="I14" s="131" t="inlineStr">
        <is>
          <t>FortiWeb WAF, IDS/IPS, quarterly vulnerability scanning, secure development and testing environments.</t>
        </is>
      </c>
      <c r="J14" s="131" t="n">
        <v>4</v>
      </c>
      <c r="K14" s="131" t="inlineStr">
        <is>
          <t>Three high-risk mobile application vulnerabilities were identified and one remained unresolved at the latest assessment.</t>
        </is>
      </c>
      <c r="L14" s="131" t="n">
        <v>5</v>
      </c>
      <c r="M14" s="131" t="inlineStr">
        <is>
          <t>Successful exploitation could affect customer data, transaction integrity, and confidence in digital banking.</t>
        </is>
      </c>
      <c r="N14" s="125">
        <f>IFERROR(RiskAssessment[[#This Row],[Likelihood]]*RiskAssessment[[#This Row],[Impact]],"Calculated")</f>
        <v/>
      </c>
      <c r="O14" s="198">
        <f>IF(N14="Calculated","Calculated",IF(N14&gt;15," CRITICAL",IF(N14&gt;11," HIGH",IF(N14&gt;4," MEDIUM"," LOW"))))</f>
        <v/>
      </c>
      <c r="P14" s="131" t="inlineStr">
        <is>
          <t>Modify</t>
        </is>
      </c>
      <c r="Q14" s="131" t="inlineStr">
        <is>
          <t>Remediate the remaining high-risk vulnerability, strengthen input validation, and verify the fixes through security testing.</t>
        </is>
      </c>
      <c r="R14" s="131" t="inlineStr">
        <is>
          <t>A.8.26 Application security requirements; A.8.28 Secure coding; A.8.29 Security testing in development and acceptance</t>
        </is>
      </c>
      <c r="S14" s="132" t="n">
        <v>0</v>
      </c>
      <c r="T14" s="131" t="inlineStr">
        <is>
          <t>Banking Applications Manager</t>
        </is>
      </c>
      <c r="U14" s="131" t="inlineStr">
        <is>
          <t>30 days</t>
        </is>
      </c>
      <c r="V14" s="131" t="inlineStr">
        <is>
          <t>0%</t>
        </is>
      </c>
      <c r="W14" s="131" t="inlineStr">
        <is>
          <t>Not Started</t>
        </is>
      </c>
      <c r="X14" s="131" t="n">
        <v>2</v>
      </c>
      <c r="Y14" s="131" t="inlineStr">
        <is>
          <t>The treatment reduces the likelihood of successful exploitation while the business impact of a compromised banking application remains high.</t>
        </is>
      </c>
      <c r="Z14" s="131" t="n">
        <v>5</v>
      </c>
      <c r="AA14" s="131" t="inlineStr">
        <is>
          <t>A successful compromise could still affect sensitive customer and financial information.</t>
        </is>
      </c>
      <c r="AB14" s="125">
        <f>IFERROR(RiskAssessment[[#This Row],[Post-Treatment Likelihood]]*RiskAssessment[[#This Row],[Post- Treatment Impact]],"Calculated")</f>
        <v/>
      </c>
      <c r="AC14" s="198">
        <f>IF(AB14="Calculated","Calculated",IF(AB14&gt;15," CRITICAL",IF(AB14&gt;11," HIGH",IF(AB14&gt;4," MEDIUM"," LOW"))))</f>
        <v/>
      </c>
      <c r="AD14" s="131" t="inlineStr">
        <is>
          <t>Treatment priority is High because the case study records three high-risk vulnerabilities and only two had been remediated.</t>
        </is>
      </c>
    </row>
    <row r="15" ht="180.55" customHeight="1" s="104">
      <c r="B15" s="131" t="n">
        <v>2</v>
      </c>
      <c r="C15" s="131" t="inlineStr">
        <is>
          <t>Applications</t>
        </is>
      </c>
      <c r="D15" s="131" t="inlineStr">
        <is>
          <t>Afaq Net online banking platform</t>
        </is>
      </c>
      <c r="E15" s="131" t="inlineStr">
        <is>
          <t>Exploitation of web application vulnerabilities</t>
        </is>
      </c>
      <c r="F15" s="131" t="inlineStr">
        <is>
          <t>Seven medium-risk vulnerabilities remain in the online banking platform.</t>
        </is>
      </c>
      <c r="G15" s="131" t="inlineStr">
        <is>
          <t>CIA</t>
        </is>
      </c>
      <c r="H15" s="131" t="inlineStr">
        <is>
          <t>Head of Banking Applications</t>
        </is>
      </c>
      <c r="I15" s="131" t="inlineStr">
        <is>
          <t>FortiWeb WAF, IDS/IPS, quarterly vulnerability scanning.</t>
        </is>
      </c>
      <c r="J15" s="131" t="n">
        <v>4</v>
      </c>
      <c r="K15" s="131" t="inlineStr">
        <is>
          <t>The latest vulnerability assessment identified seven medium-risk issues and some previously reported issues remained unresolved.</t>
        </is>
      </c>
      <c r="L15" s="131" t="n">
        <v>4</v>
      </c>
      <c r="M15" s="131" t="inlineStr">
        <is>
          <t>A compromise could affect online banking availability, customer information, and transaction integrity.</t>
        </is>
      </c>
      <c r="N15" s="125">
        <f>IFERROR(RiskAssessment[[#This Row],[Likelihood]]*RiskAssessment[[#This Row],[Impact]],"Calculated")</f>
        <v/>
      </c>
      <c r="O15" s="198">
        <f>IF(N15="Calculated","Calculated",IF(N15&gt;15," CRITICAL",IF(N15&gt;11," HIGH",IF(N15&gt;4," MEDIUM"," LOW"))))</f>
        <v/>
      </c>
      <c r="P15" s="131" t="inlineStr">
        <is>
          <t>Modify</t>
        </is>
      </c>
      <c r="Q15" s="131" t="inlineStr">
        <is>
          <t>Prioritize and remediate the identified vulnerabilities, then perform verification testing before closure.</t>
        </is>
      </c>
      <c r="R15" s="131" t="inlineStr">
        <is>
          <t>A.8.8 Management of technical vulnerabilities; A.8.26 Application security requirements; A.8.29 Security testing in development and acceptance</t>
        </is>
      </c>
      <c r="S15" s="132" t="n">
        <v>0</v>
      </c>
      <c r="T15" s="131" t="inlineStr">
        <is>
          <t>Banking Applications Manager</t>
        </is>
      </c>
      <c r="U15" s="131" t="inlineStr">
        <is>
          <t>60 days</t>
        </is>
      </c>
      <c r="V15" s="131" t="inlineStr">
        <is>
          <t>0%</t>
        </is>
      </c>
      <c r="W15" s="131" t="inlineStr">
        <is>
          <t>Not Started</t>
        </is>
      </c>
      <c r="X15" s="131" t="n">
        <v>2</v>
      </c>
      <c r="Y15" s="131" t="inlineStr">
        <is>
          <t>Planned remediation and verification reduce the likelihood of exploitation.</t>
        </is>
      </c>
      <c r="Z15" s="131" t="n">
        <v>4</v>
      </c>
      <c r="AA15" s="131" t="inlineStr">
        <is>
          <t>The platform remains business-critical and compromise could still have a significant effect.</t>
        </is>
      </c>
      <c r="AB15" s="125">
        <f>IFERROR(RiskAssessment[[#This Row],[Post-Treatment Likelihood]]*RiskAssessment[[#This Row],[Post- Treatment Impact]],"Calculated")</f>
        <v/>
      </c>
      <c r="AC15" s="198">
        <f>IF(AB15="Calculated","Calculated",IF(AB15&gt;15," CRITICAL",IF(AB15&gt;11," HIGH",IF(AB15&gt;4," MEDIUM"," LOW"))))</f>
        <v/>
      </c>
      <c r="AD15" s="131" t="inlineStr">
        <is>
          <t>Risk is retained as Medium after treatment because the service remains critical.</t>
        </is>
      </c>
    </row>
    <row r="16" ht="195.5" customHeight="1" s="104">
      <c r="B16" s="131" t="n">
        <v>3</v>
      </c>
      <c r="C16" s="131" t="inlineStr">
        <is>
          <t>Infrastructure</t>
        </is>
      </c>
      <c r="D16" s="131" t="inlineStr">
        <is>
          <t>Internal network systems</t>
        </is>
      </c>
      <c r="E16" s="131" t="inlineStr">
        <is>
          <t>Exploitation of known technical vulnerabilities</t>
        </is>
      </c>
      <c r="F16" s="131" t="inlineStr">
        <is>
          <t>Five medium-risk vulnerabilities were identified in internal network systems.</t>
        </is>
      </c>
      <c r="G16" s="131" t="inlineStr">
        <is>
          <t>CIA</t>
        </is>
      </c>
      <c r="H16" s="131" t="inlineStr">
        <is>
          <t>Network Manager</t>
        </is>
      </c>
      <c r="I16" s="131" t="inlineStr">
        <is>
          <t>Palo Alto firewalls, IDS/IPS, quarterly external vulnerability assessment, network security controls.</t>
        </is>
      </c>
      <c r="J16" s="131" t="n">
        <v>3</v>
      </c>
      <c r="K16" s="131" t="inlineStr">
        <is>
          <t>The vulnerability assessment identified five medium-risk internal network vulnerabilities.</t>
        </is>
      </c>
      <c r="L16" s="131" t="n">
        <v>4</v>
      </c>
      <c r="M16" s="131" t="inlineStr">
        <is>
          <t>Exploitation could enable unauthorized access to supporting systems and disrupt banking operations.</t>
        </is>
      </c>
      <c r="N16" s="125">
        <f>IFERROR(RiskAssessment[[#This Row],[Likelihood]]*RiskAssessment[[#This Row],[Impact]],"Calculated")</f>
        <v/>
      </c>
      <c r="O16" s="198">
        <f>IF(N16="Calculated","Calculated",IF(N16&gt;15," CRITICAL",IF(N16&gt;11," HIGH",IF(N16&gt;4," MEDIUM"," LOW"))))</f>
        <v/>
      </c>
      <c r="P16" s="131" t="inlineStr">
        <is>
          <t>Modify</t>
        </is>
      </c>
      <c r="Q16" s="131" t="inlineStr">
        <is>
          <t>Track the identified vulnerabilities to closure, apply appropriate remediation, and verify the results.</t>
        </is>
      </c>
      <c r="R16" s="131" t="inlineStr">
        <is>
          <t>A.8.8 Management of technical vulnerabilities; A.8.20 Networks security; A.8.22 Segregation of networks</t>
        </is>
      </c>
      <c r="S16" s="132" t="n">
        <v>0</v>
      </c>
      <c r="T16" s="131" t="inlineStr">
        <is>
          <t>Network Manager</t>
        </is>
      </c>
      <c r="U16" s="131" t="inlineStr">
        <is>
          <t>60 days</t>
        </is>
      </c>
      <c r="V16" s="131" t="inlineStr">
        <is>
          <t>0%</t>
        </is>
      </c>
      <c r="W16" s="131" t="inlineStr">
        <is>
          <t>Not Started</t>
        </is>
      </c>
      <c r="X16" s="131" t="n">
        <v>2</v>
      </c>
      <c r="Y16" s="131" t="inlineStr">
        <is>
          <t>Remediation and verification reduce the probability of successful exploitation.</t>
        </is>
      </c>
      <c r="Z16" s="131" t="n">
        <v>4</v>
      </c>
      <c r="AA16" s="131" t="inlineStr">
        <is>
          <t>Internal infrastructure supports multiple banking services and remains important to availability and integrity.</t>
        </is>
      </c>
      <c r="AB16" s="125">
        <f>IFERROR(RiskAssessment[[#This Row],[Post-Treatment Likelihood]]*RiskAssessment[[#This Row],[Post- Treatment Impact]],"Calculated")</f>
        <v/>
      </c>
      <c r="AC16" s="198">
        <f>IF(AB16="Calculated","Calculated",IF(AB16&gt;15," CRITICAL",IF(AB16&gt;11," HIGH",IF(AB16&gt;4," MEDIUM"," LOW"))))</f>
        <v/>
      </c>
      <c r="AD16" s="131" t="inlineStr">
        <is>
          <t>Residual risk remains Medium because the network is essential to banking operations.</t>
        </is>
      </c>
    </row>
    <row r="17" ht="135.8" customHeight="1" s="104">
      <c r="B17" s="131" t="n">
        <v>4</v>
      </c>
      <c r="C17" s="131" t="inlineStr">
        <is>
          <t>Infrastructure</t>
        </is>
      </c>
      <c r="D17" s="131" t="inlineStr">
        <is>
          <t>Bank technology environment</t>
        </is>
      </c>
      <c r="E17" s="133" t="inlineStr">
        <is>
          <t>Delayed remediation of known vulnerabilities</t>
        </is>
      </c>
      <c r="F17" s="133" t="inlineStr">
        <is>
          <t>Previously reported vulnerabilities remained unresolved, including a high-risk mobile vulnerability and most medium-risk findings.</t>
        </is>
      </c>
      <c r="G17" s="131" t="inlineStr">
        <is>
          <t>CIA</t>
        </is>
      </c>
      <c r="H17" s="131" t="inlineStr">
        <is>
          <t>CISO</t>
        </is>
      </c>
      <c r="I17" s="131" t="inlineStr">
        <is>
          <t>Quarterly vulnerability scanning and an Information Security risk and vulnerability assessment team.</t>
        </is>
      </c>
      <c r="J17" s="131" t="n">
        <v>4</v>
      </c>
      <c r="K17" s="131" t="inlineStr">
        <is>
          <t>The case study confirms that some findings from previous assessments had not been remediated.</t>
        </is>
      </c>
      <c r="L17" s="131" t="n">
        <v>4</v>
      </c>
      <c r="M17" s="131" t="inlineStr">
        <is>
          <t>Accumulated unresolved vulnerabilities increase the opportunity for exploitation and repeated exposure.</t>
        </is>
      </c>
      <c r="N17" s="125">
        <f>IFERROR(RiskAssessment[[#This Row],[Likelihood]]*RiskAssessment[[#This Row],[Impact]],"Calculated")</f>
        <v/>
      </c>
      <c r="O17" s="198">
        <f>IF(N17="Calculated","Calculated",IF(N17&gt;15," CRITICAL",IF(N17&gt;11," HIGH",IF(N17&gt;4," MEDIUM"," LOW"))))</f>
        <v/>
      </c>
      <c r="P17" s="131" t="inlineStr">
        <is>
          <t>Modify</t>
        </is>
      </c>
      <c r="Q17" s="131" t="inlineStr">
        <is>
          <t>Establish a tracked remediation cycle with ownership, prioritization, verification, and management visibility for overdue findings.</t>
        </is>
      </c>
      <c r="R17" s="134" t="inlineStr">
        <is>
          <t>A.5.37 Documented operating procedures; A.8.8 Management of technical vulnerabilities</t>
        </is>
      </c>
      <c r="S17" s="132" t="n">
        <v>0</v>
      </c>
      <c r="T17" s="131" t="inlineStr">
        <is>
          <t>Risk and Vulnerability Assessment Manager</t>
        </is>
      </c>
      <c r="U17" s="135" t="inlineStr">
        <is>
          <t>30 days</t>
        </is>
      </c>
      <c r="V17" s="131" t="inlineStr">
        <is>
          <t>0%</t>
        </is>
      </c>
      <c r="W17" s="131" t="inlineStr">
        <is>
          <t>Not Started</t>
        </is>
      </c>
      <c r="X17" s="131" t="n">
        <v>2</v>
      </c>
      <c r="Y17" s="131" t="inlineStr">
        <is>
          <t>Formal tracking and ownership reduce the likelihood that known weaknesses remain unresolved.</t>
        </is>
      </c>
      <c r="Z17" s="131" t="n">
        <v>4</v>
      </c>
      <c r="AA17" s="131" t="inlineStr">
        <is>
          <t>Residual exposure remains while technical weaknesses exist.</t>
        </is>
      </c>
      <c r="AB17" s="125">
        <f>IFERROR(RiskAssessment[[#This Row],[Post-Treatment Likelihood]]*RiskAssessment[[#This Row],[Post- Treatment Impact]],"Calculated")</f>
        <v/>
      </c>
      <c r="AC17" s="198">
        <f>IF(AB17="Calculated","Calculated",IF(AB17&gt;15," CRITICAL",IF(AB17&gt;11," HIGH",IF(AB17&gt;4," MEDIUM"," LOW"))))</f>
        <v/>
      </c>
      <c r="AD17" s="131" t="inlineStr">
        <is>
          <t>This risk addresses the process weakness evidenced by repeated unresolved findings.</t>
        </is>
      </c>
    </row>
    <row r="18" ht="135.8" customHeight="1" s="104">
      <c r="B18" s="131" t="n">
        <v>5</v>
      </c>
      <c r="C18" s="131" t="inlineStr">
        <is>
          <t>People</t>
        </is>
      </c>
      <c r="D18" s="131" t="inlineStr">
        <is>
          <t>Finance Department users</t>
        </is>
      </c>
      <c r="E18" s="133" t="inlineStr">
        <is>
          <t>Advanced phishing and business email compromise</t>
        </is>
      </c>
      <c r="F18" s="133" t="inlineStr">
        <is>
          <t>Employees were targeted by convincing messages requesting an urgent external transfer of SAR 150,000.</t>
        </is>
      </c>
      <c r="G18" s="131" t="inlineStr">
        <is>
          <t>CIA</t>
        </is>
      </c>
      <c r="H18" s="131" t="inlineStr">
        <is>
          <t>Finance Manager</t>
        </is>
      </c>
      <c r="I18" s="131" t="inlineStr">
        <is>
          <t>Cisco secure email gateway and real-time fraud detection system stopped the attempted transfer.</t>
        </is>
      </c>
      <c r="J18" s="131" t="n">
        <v>4</v>
      </c>
      <c r="K18" s="131" t="inlineStr">
        <is>
          <t>A real phishing incident occurred and one of three targeted employees initiated the transfer before fraud detection stopped it.</t>
        </is>
      </c>
      <c r="L18" s="131" t="n">
        <v>4</v>
      </c>
      <c r="M18" s="131" t="inlineStr">
        <is>
          <t>A successful phishing event could cause financial loss, credential compromise, or unauthorized transactions.</t>
        </is>
      </c>
      <c r="N18" s="125">
        <f>IFERROR(RiskAssessment[[#This Row],[Likelihood]]*RiskAssessment[[#This Row],[Impact]],"Calculated")</f>
        <v/>
      </c>
      <c r="O18" s="198">
        <f>IF(N18="Calculated","Calculated",IF(N18&gt;15," CRITICAL",IF(N18&gt;11," HIGH",IF(N18&gt;4," MEDIUM"," LOW"))))</f>
        <v/>
      </c>
      <c r="P18" s="131" t="inlineStr">
        <is>
          <t>Modify</t>
        </is>
      </c>
      <c r="Q18" s="131" t="inlineStr">
        <is>
          <t>Provide focused security awareness and phishing training for finance staff and reinforce independent verification of unusual transfer requests.</t>
        </is>
      </c>
      <c r="R18" s="131" t="inlineStr">
        <is>
          <t>A.6.3 Information security awareness, education and training; A.5.14 Information transfer</t>
        </is>
      </c>
      <c r="S18" s="132" t="n">
        <v>0</v>
      </c>
      <c r="T18" s="131" t="inlineStr">
        <is>
          <t>Information Security Governance Manager</t>
        </is>
      </c>
      <c r="U18" s="131" t="inlineStr">
        <is>
          <t>45 days</t>
        </is>
      </c>
      <c r="V18" s="131" t="inlineStr">
        <is>
          <t>0%</t>
        </is>
      </c>
      <c r="W18" s="131" t="inlineStr">
        <is>
          <t>Not Started</t>
        </is>
      </c>
      <c r="X18" s="131" t="n">
        <v>2</v>
      </c>
      <c r="Y18" s="131" t="inlineStr">
        <is>
          <t>Targeted awareness and verification procedures reduce the probability of successful phishing.</t>
        </is>
      </c>
      <c r="Z18" s="131" t="n">
        <v>4</v>
      </c>
      <c r="AA18" s="131" t="inlineStr">
        <is>
          <t>Finance processes remain exposed to fraudulent requests and social engineering.</t>
        </is>
      </c>
      <c r="AB18" s="125">
        <f>IFERROR(RiskAssessment[[#This Row],[Post-Treatment Likelihood]]*RiskAssessment[[#This Row],[Post- Treatment Impact]],"Calculated")</f>
        <v/>
      </c>
      <c r="AC18" s="198">
        <f>IF(AB18="Calculated","Calculated",IF(AB18&gt;15," CRITICAL",IF(AB18&gt;11," HIGH",IF(AB18&gt;4," MEDIUM"," LOW"))))</f>
        <v/>
      </c>
      <c r="AD18" s="131" t="inlineStr">
        <is>
          <t>The case study records a later phishing simulation with 25% link-click rate and 12% credential submission.</t>
        </is>
      </c>
    </row>
    <row r="19" ht="165.65" customHeight="1" s="104">
      <c r="B19" s="131" t="n">
        <v>6</v>
      </c>
      <c r="C19" s="131" t="inlineStr">
        <is>
          <t>Access Management</t>
        </is>
      </c>
      <c r="D19" s="131" t="inlineStr">
        <is>
          <t>HR network folders</t>
        </is>
      </c>
      <c r="E19" s="133" t="inlineStr">
        <is>
          <t>Unauthorized access through excessive privileges</t>
        </is>
      </c>
      <c r="F19" s="133" t="inlineStr">
        <is>
          <t>Some IT employees had full access to HR folders containing employee profiles, payroll data, and performance information; inherited access was not removed after an earlier project.</t>
        </is>
      </c>
      <c r="G19" s="131" t="inlineStr">
        <is>
          <t>CIA</t>
        </is>
      </c>
      <c r="H19" s="131" t="inlineStr">
        <is>
          <t>IT Manager</t>
        </is>
      </c>
      <c r="I19" s="131" t="inlineStr">
        <is>
          <t>Active Directory manages user accounts and permissions; periodic access review identified the issue.</t>
        </is>
      </c>
      <c r="J19" s="131" t="n">
        <v>3</v>
      </c>
      <c r="K19" s="131" t="inlineStr">
        <is>
          <t>Excessive inherited access was discovered during a routine review and had existed for an unknown period.</t>
        </is>
      </c>
      <c r="L19" s="131" t="n">
        <v>5</v>
      </c>
      <c r="M19" s="131" t="inlineStr">
        <is>
          <t>HR records contain sensitive personal and payroll information and unauthorized disclosure could create regulatory and reputational impact.</t>
        </is>
      </c>
      <c r="N19" s="125">
        <f>IFERROR(RiskAssessment[[#This Row],[Likelihood]]*RiskAssessment[[#This Row],[Impact]],"Calculated")</f>
        <v/>
      </c>
      <c r="O19" s="198">
        <f>IF(N19="Calculated","Calculated",IF(N19&gt;15," CRITICAL",IF(N19&gt;11," HIGH",IF(N19&gt;4," MEDIUM"," LOW"))))</f>
        <v/>
      </c>
      <c r="P19" s="131" t="inlineStr">
        <is>
          <t>Modify</t>
        </is>
      </c>
      <c r="Q19" s="131" t="inlineStr">
        <is>
          <t>Remove unnecessary inherited privileges and implement periodic access-rights reviews for sensitive HR information.</t>
        </is>
      </c>
      <c r="R19" s="131" t="inlineStr">
        <is>
          <t>A.5.15 Access control; A.5.18 Access rights; A.8.2 Privileged access rights</t>
        </is>
      </c>
      <c r="S19" s="132" t="n">
        <v>0</v>
      </c>
      <c r="T19" s="131" t="inlineStr">
        <is>
          <t>IT Manager</t>
        </is>
      </c>
      <c r="U19" s="131" t="inlineStr">
        <is>
          <t>30 days</t>
        </is>
      </c>
      <c r="V19" s="131" t="inlineStr">
        <is>
          <t>0%</t>
        </is>
      </c>
      <c r="W19" s="131" t="inlineStr">
        <is>
          <t>Not Started</t>
        </is>
      </c>
      <c r="X19" s="131" t="n">
        <v>2</v>
      </c>
      <c r="Y19" s="131" t="inlineStr">
        <is>
          <t>Removal of excessive access and periodic reviews reduce the likelihood of unauthorized access.</t>
        </is>
      </c>
      <c r="Z19" s="131" t="n">
        <v>5</v>
      </c>
      <c r="AA19" s="131" t="inlineStr">
        <is>
          <t>HR information remains highly sensitive and requires strong confidentiality protection.</t>
        </is>
      </c>
      <c r="AB19" s="125">
        <f>IFERROR(RiskAssessment[[#This Row],[Post-Treatment Likelihood]]*RiskAssessment[[#This Row],[Post- Treatment Impact]],"Calculated")</f>
        <v/>
      </c>
      <c r="AC19" s="198">
        <f>IF(AB19="Calculated","Calculated",IF(AB19&gt;15," CRITICAL",IF(AB19&gt;11," HIGH",IF(AB19&gt;4," MEDIUM"," LOW"))))</f>
        <v/>
      </c>
      <c r="AD19" s="131" t="inlineStr">
        <is>
          <t>No evidence of actual unauthorized access was identified, but the exposure was material.</t>
        </is>
      </c>
    </row>
    <row r="20" ht="180.55" customHeight="1" s="104">
      <c r="B20" s="131" t="n">
        <v>7</v>
      </c>
      <c r="C20" s="131" t="inlineStr">
        <is>
          <t>Endpoint Devices</t>
        </is>
      </c>
      <c r="D20" s="131" t="inlineStr">
        <is>
          <t>Marketing manager laptop</t>
        </is>
      </c>
      <c r="E20" s="133" t="inlineStr">
        <is>
          <t>Loss or theft of endpoint containing customer data</t>
        </is>
      </c>
      <c r="F20" s="133" t="inlineStr">
        <is>
          <t>The lost laptop contained local copies of customer information and the hard drive was not encrypted.</t>
        </is>
      </c>
      <c r="G20" s="131" t="inlineStr">
        <is>
          <t>C</t>
        </is>
      </c>
      <c r="H20" s="131" t="inlineStr">
        <is>
          <t>IT Manager</t>
        </is>
      </c>
      <c r="I20" s="131" t="inlineStr">
        <is>
          <t>Endpoint antivirus protection and incident reporting processes were available; full-disk encryption was not enabled on all devices at the time.</t>
        </is>
      </c>
      <c r="J20" s="131" t="n">
        <v>3</v>
      </c>
      <c r="K20" s="131" t="inlineStr">
        <is>
          <t>A similar loss occurred nine months before the assessment and reporting took 48 hours.</t>
        </is>
      </c>
      <c r="L20" s="131" t="n">
        <v>5</v>
      </c>
      <c r="M20" s="131" t="inlineStr">
        <is>
          <t>The device contained customer names, contact details, and banking information, creating significant confidentiality and regulatory exposure.</t>
        </is>
      </c>
      <c r="N20" s="125">
        <f>IFERROR(RiskAssessment[[#This Row],[Likelihood]]*RiskAssessment[[#This Row],[Impact]],"Calculated")</f>
        <v/>
      </c>
      <c r="O20" s="198">
        <f>IF(N20="Calculated","Calculated",IF(N20&gt;15," CRITICAL",IF(N20&gt;11," HIGH",IF(N20&gt;4," MEDIUM"," LOW"))))</f>
        <v/>
      </c>
      <c r="P20" s="131" t="inlineStr">
        <is>
          <t>Modify</t>
        </is>
      </c>
      <c r="Q20" s="131" t="inlineStr">
        <is>
          <t>Enforce full-disk encryption on bank laptops and reinforce rapid reporting requirements for lost devices.</t>
        </is>
      </c>
      <c r="R20" s="131" t="inlineStr">
        <is>
          <t>A.8.1 User endpoint devices; A.8.24 Use of cryptography; A.6.3 Information security awareness, education and training</t>
        </is>
      </c>
      <c r="S20" s="132" t="n">
        <v>0</v>
      </c>
      <c r="T20" s="131" t="inlineStr">
        <is>
          <t>IT Manager</t>
        </is>
      </c>
      <c r="U20" s="131" t="inlineStr">
        <is>
          <t>30 days</t>
        </is>
      </c>
      <c r="V20" s="131" t="inlineStr">
        <is>
          <t>0%</t>
        </is>
      </c>
      <c r="W20" s="131" t="inlineStr">
        <is>
          <t>Not Started</t>
        </is>
      </c>
      <c r="X20" s="131" t="n">
        <v>1</v>
      </c>
      <c r="Y20" s="131" t="inlineStr">
        <is>
          <t>Full-disk encryption and faster reporting substantially reduce the probability and exposure of data compromise from a lost device.</t>
        </is>
      </c>
      <c r="Z20" s="131" t="n">
        <v>5</v>
      </c>
      <c r="AA20" s="131" t="inlineStr">
        <is>
          <t>The information stored on endpoints remains sensitive.</t>
        </is>
      </c>
      <c r="AB20" s="125">
        <f>IFERROR(RiskAssessment[[#This Row],[Post-Treatment Likelihood]]*RiskAssessment[[#This Row],[Post- Treatment Impact]],"Calculated")</f>
        <v/>
      </c>
      <c r="AC20" s="198">
        <f>IF(AB20="Calculated","Calculated",IF(AB20&gt;15," CRITICAL",IF(AB20&gt;11," HIGH",IF(AB20&gt;4," MEDIUM"," LOW"))))</f>
        <v/>
      </c>
      <c r="AD20" s="131" t="inlineStr">
        <is>
          <t>The case study records regulatory notification, customer notification, and additional identity-monitoring costs after the incident.</t>
        </is>
      </c>
    </row>
    <row r="21" ht="150.7" customHeight="1" s="104">
      <c r="B21" s="131" t="n">
        <v>8</v>
      </c>
      <c r="C21" s="131" t="inlineStr">
        <is>
          <t>Digital Certificates</t>
        </is>
      </c>
      <c r="D21" s="131" t="inlineStr">
        <is>
          <t>Bank website and Afaq Net</t>
        </is>
      </c>
      <c r="E21" s="133" t="inlineStr">
        <is>
          <t>Expiration of TLS/SSL certificates</t>
        </is>
      </c>
      <c r="F21" s="133" t="inlineStr">
        <is>
          <t>TLS/SSL certificates expired without detection and remained expired for four hours.</t>
        </is>
      </c>
      <c r="G21" s="131" t="inlineStr">
        <is>
          <t>CIA</t>
        </is>
      </c>
      <c r="H21" s="131" t="inlineStr">
        <is>
          <t>Infrastructure and Networks Manager</t>
        </is>
      </c>
      <c r="I21" s="131" t="inlineStr">
        <is>
          <t>TLS/SSL certificates were used for the website and online banking services; no automated expiry monitoring existed.</t>
        </is>
      </c>
      <c r="J21" s="131" t="n">
        <v>3</v>
      </c>
      <c r="K21" s="131" t="inlineStr">
        <is>
          <t>A certificate expiration incident occurred six months before the assessment and remained undetected for four hours.</t>
        </is>
      </c>
      <c r="L21" s="131" t="n">
        <v>4</v>
      </c>
      <c r="M21" s="131" t="inlineStr">
        <is>
          <t>Customer security warnings can disrupt service access and cause significant reputational damage.</t>
        </is>
      </c>
      <c r="N21" s="125">
        <f>IFERROR(RiskAssessment[[#This Row],[Likelihood]]*RiskAssessment[[#This Row],[Impact]],"Calculated")</f>
        <v/>
      </c>
      <c r="O21" s="198">
        <f>IF(N21="Calculated","Calculated",IF(N21&gt;15," CRITICAL",IF(N21&gt;11," HIGH",IF(N21&gt;4," MEDIUM"," LOW"))))</f>
        <v/>
      </c>
      <c r="P21" s="131" t="inlineStr">
        <is>
          <t>Modify</t>
        </is>
      </c>
      <c r="Q21" s="131" t="inlineStr">
        <is>
          <t>Maintain a documented certificate inventory and implement monitoring and renewal responsibilities for digital certificates.</t>
        </is>
      </c>
      <c r="R21" s="131" t="inlineStr">
        <is>
          <t>A.5.37 Documented operating procedures; A.8.24 Use of cryptography</t>
        </is>
      </c>
      <c r="S21" s="132" t="n">
        <v>0</v>
      </c>
      <c r="T21" s="131" t="inlineStr">
        <is>
          <t>Infrastructure and Networks Manager</t>
        </is>
      </c>
      <c r="U21" s="131" t="inlineStr">
        <is>
          <t>30 days</t>
        </is>
      </c>
      <c r="V21" s="131" t="inlineStr">
        <is>
          <t>0%</t>
        </is>
      </c>
      <c r="W21" s="131" t="inlineStr">
        <is>
          <t>Not Started</t>
        </is>
      </c>
      <c r="X21" s="131" t="n">
        <v>1</v>
      </c>
      <c r="Y21" s="131" t="inlineStr">
        <is>
          <t>Automated or scheduled monitoring and defined ownership reduce the likelihood of recurrence.</t>
        </is>
      </c>
      <c r="Z21" s="131" t="n">
        <v>4</v>
      </c>
      <c r="AA21" s="131" t="inlineStr">
        <is>
          <t>A certificate failure can still affect customer trust and digital service availability.</t>
        </is>
      </c>
      <c r="AB21" s="125">
        <f>IFERROR(RiskAssessment[[#This Row],[Post-Treatment Likelihood]]*RiskAssessment[[#This Row],[Post- Treatment Impact]],"Calculated")</f>
        <v/>
      </c>
      <c r="AC21" s="198">
        <f>IF(AB21="Calculated","Calculated",IF(AB21&gt;15," CRITICAL",IF(AB21&gt;11," HIGH",IF(AB21&gt;4," MEDIUM"," LOW"))))</f>
        <v/>
      </c>
      <c r="AD21" s="131" t="inlineStr">
        <is>
          <t>The incident caused significant social-media reputation damage and required a week of communications to restore confidence.</t>
        </is>
      </c>
    </row>
    <row r="22" ht="165.65" customHeight="1" s="104">
      <c r="B22" s="131" t="n">
        <v>9</v>
      </c>
      <c r="C22" s="131" t="inlineStr">
        <is>
          <t>Digital Banking Services</t>
        </is>
      </c>
      <c r="D22" s="131" t="inlineStr">
        <is>
          <t>Afaq Plus and Afaq Net</t>
        </is>
      </c>
      <c r="E22" s="133" t="inlineStr">
        <is>
          <t>Distributed denial-of-service attack</t>
        </is>
      </c>
      <c r="F22" s="133" t="inlineStr">
        <is>
          <t>Digital banking services are exposed to DDoS threats that could disrupt customer access.</t>
        </is>
      </c>
      <c r="G22" s="131" t="inlineStr">
        <is>
          <t>A</t>
        </is>
      </c>
      <c r="H22" s="131" t="inlineStr">
        <is>
          <t>CISO</t>
        </is>
      </c>
      <c r="I22" s="131" t="inlineStr">
        <is>
          <t>Palo Alto firewalls, IDS/IPS, high-availability network design, and resilient digital banking infrastructure.</t>
        </is>
      </c>
      <c r="J22" s="131" t="n">
        <v>3</v>
      </c>
      <c r="K22" s="131" t="inlineStr">
        <is>
          <t>DDoS is an identified sector threat and digital banking services are highly relied upon by customers.</t>
        </is>
      </c>
      <c r="L22" s="131" t="n">
        <v>5</v>
      </c>
      <c r="M22" s="131" t="inlineStr">
        <is>
          <t>Extended disruption would directly affect customers and banking operations.</t>
        </is>
      </c>
      <c r="N22" s="125">
        <f>IFERROR(RiskAssessment[[#This Row],[Likelihood]]*RiskAssessment[[#This Row],[Impact]],"Calculated")</f>
        <v/>
      </c>
      <c r="O22" s="198">
        <f>IF(N22="Calculated","Calculated",IF(N22&gt;15," CRITICAL",IF(N22&gt;11," HIGH",IF(N22&gt;4," MEDIUM"," LOW"))))</f>
        <v/>
      </c>
      <c r="P22" s="131" t="inlineStr">
        <is>
          <t>Modify</t>
        </is>
      </c>
      <c r="Q22" s="131" t="inlineStr">
        <is>
          <t>Strengthen continuity and incident response arrangements for digital service disruption and validate monitoring and escalation processes.</t>
        </is>
      </c>
      <c r="R22" s="131" t="inlineStr">
        <is>
          <t>A.5.29 Information security during disruption; A.5.30 ICT readiness for business continuity; A.8.20 Networks security</t>
        </is>
      </c>
      <c r="S22" s="132" t="n">
        <v>0</v>
      </c>
      <c r="T22" s="131" t="inlineStr">
        <is>
          <t>Incident Response Manager</t>
        </is>
      </c>
      <c r="U22" s="131" t="inlineStr">
        <is>
          <t>60 days</t>
        </is>
      </c>
      <c r="V22" s="131" t="inlineStr">
        <is>
          <t>0%</t>
        </is>
      </c>
      <c r="W22" s="131" t="inlineStr">
        <is>
          <t>Not Started</t>
        </is>
      </c>
      <c r="X22" s="131" t="n">
        <v>2</v>
      </c>
      <c r="Y22" s="131" t="inlineStr">
        <is>
          <t>Prepared response and continuity arrangements reduce the likelihood of prolonged disruption.</t>
        </is>
      </c>
      <c r="Z22" s="131" t="n">
        <v>5</v>
      </c>
      <c r="AA22" s="131" t="inlineStr">
        <is>
          <t>Digital banking remains highly critical and a severe outage would have major customer impact.</t>
        </is>
      </c>
      <c r="AB22" s="125">
        <f>IFERROR(RiskAssessment[[#This Row],[Post-Treatment Likelihood]]*RiskAssessment[[#This Row],[Post- Treatment Impact]],"Calculated")</f>
        <v/>
      </c>
      <c r="AC22" s="198">
        <f>IF(AB22="Calculated","Calculated",IF(AB22&gt;15," CRITICAL",IF(AB22&gt;11," HIGH",IF(AB22&gt;4," MEDIUM"," LOW"))))</f>
        <v/>
      </c>
      <c r="AD22" s="131" t="inlineStr">
        <is>
          <t>A previous three-hour digital banking outage demonstrates the materiality of service availability risk.</t>
        </is>
      </c>
    </row>
    <row r="23" ht="195.5" customHeight="1" s="104">
      <c r="B23" s="131" t="n">
        <v>10</v>
      </c>
      <c r="C23" s="131" t="inlineStr">
        <is>
          <t>Core Banking</t>
        </is>
      </c>
      <c r="D23" s="131" t="inlineStr">
        <is>
          <t>Core Banking System</t>
        </is>
      </c>
      <c r="E23" s="133" t="inlineStr">
        <is>
          <t>Ransomware or malware affecting critical banking systems</t>
        </is>
      </c>
      <c r="F23" s="133" t="inlineStr">
        <is>
          <t>The banking environment is exposed to ransomware and other malware threats targeting financial-sector systems.</t>
        </is>
      </c>
      <c r="G23" s="131" t="inlineStr">
        <is>
          <t>CIA</t>
        </is>
      </c>
      <c r="H23" s="131" t="inlineStr">
        <is>
          <t>CIO</t>
        </is>
      </c>
      <c r="I23" s="131" t="inlineStr">
        <is>
          <t>Trend Micro endpoint and server protection, backup infrastructure, disaster recovery site, firewalls, IDS/IPS, and security operations resources.</t>
        </is>
      </c>
      <c r="J23" s="131" t="n">
        <v>3</v>
      </c>
      <c r="K23" s="131" t="inlineStr">
        <is>
          <t>Ransomware is an identified threat to the bank and the environment contains highly valuable financial information.</t>
        </is>
      </c>
      <c r="L23" s="131" t="n">
        <v>5</v>
      </c>
      <c r="M23" s="131" t="inlineStr">
        <is>
          <t>Compromise could disrupt core banking operations and affect confidentiality, integrity, and availability.</t>
        </is>
      </c>
      <c r="N23" s="125">
        <f>IFERROR(RiskAssessment[[#This Row],[Likelihood]]*RiskAssessment[[#This Row],[Impact]],"Calculated")</f>
        <v/>
      </c>
      <c r="O23" s="198">
        <f>IF(N23="Calculated","Calculated",IF(N23&gt;15," CRITICAL",IF(N23&gt;11," HIGH",IF(N23&gt;4," MEDIUM"," LOW"))))</f>
        <v/>
      </c>
      <c r="P23" s="131" t="inlineStr">
        <is>
          <t>Modify</t>
        </is>
      </c>
      <c r="Q23" s="131" t="inlineStr">
        <is>
          <t>Review and strengthen documented backup, recovery, and incident response procedures for critical banking systems.</t>
        </is>
      </c>
      <c r="R23" s="131" t="inlineStr">
        <is>
          <t>A.5.29 Information security during disruption; A.5.30 ICT readiness for business continuity; A.5.37 Documented operating procedures</t>
        </is>
      </c>
      <c r="S23" s="132" t="n">
        <v>0</v>
      </c>
      <c r="T23" s="131" t="inlineStr">
        <is>
          <t>IT Operations Manager</t>
        </is>
      </c>
      <c r="U23" s="131" t="inlineStr">
        <is>
          <t>60 days</t>
        </is>
      </c>
      <c r="V23" s="131" t="inlineStr">
        <is>
          <t>0%</t>
        </is>
      </c>
      <c r="W23" s="131" t="inlineStr">
        <is>
          <t>Not Started</t>
        </is>
      </c>
      <c r="X23" s="131" t="n">
        <v>2</v>
      </c>
      <c r="Y23" s="131" t="inlineStr">
        <is>
          <t>Documented recovery and response arrangements reduce the likelihood of prolonged impact.</t>
        </is>
      </c>
      <c r="Z23" s="131" t="n">
        <v>5</v>
      </c>
      <c r="AA23" s="131" t="inlineStr">
        <is>
          <t>Core banking remains highly critical even after treatment.</t>
        </is>
      </c>
      <c r="AB23" s="125">
        <f>IFERROR(RiskAssessment[[#This Row],[Post-Treatment Likelihood]]*RiskAssessment[[#This Row],[Post- Treatment Impact]],"Calculated")</f>
        <v/>
      </c>
      <c r="AC23" s="198">
        <f>IF(AB23="Calculated","Calculated",IF(AB23&gt;15," CRITICAL",IF(AB23&gt;11," HIGH",IF(AB23&gt;4," MEDIUM"," LOW"))))</f>
        <v/>
      </c>
      <c r="AD23" s="131" t="inlineStr">
        <is>
          <t>The case study confirms a dedicated backup server and a disaster recovery site in Jeddah.</t>
        </is>
      </c>
    </row>
    <row r="24" ht="210.4" customHeight="1" s="104">
      <c r="B24" s="131" t="n">
        <v>11</v>
      </c>
      <c r="C24" s="131" t="inlineStr">
        <is>
          <t>Third Parties</t>
        </is>
      </c>
      <c r="D24" s="131" t="inlineStr">
        <is>
          <t>Mobile application development service</t>
        </is>
      </c>
      <c r="E24" s="133" t="inlineStr">
        <is>
          <t>Supply-chain compromise through technology partner</t>
        </is>
      </c>
      <c r="F24" s="133" t="inlineStr">
        <is>
          <t>Part of Afaq Plus is developed with an external mobile application company.</t>
        </is>
      </c>
      <c r="G24" s="131" t="inlineStr">
        <is>
          <t>CIA</t>
        </is>
      </c>
      <c r="H24" s="131" t="inlineStr">
        <is>
          <t>CIO</t>
        </is>
      </c>
      <c r="I24" s="131" t="inlineStr">
        <is>
          <t>External development relationship, separate development/testing/staging environments, and internal source-code management.</t>
        </is>
      </c>
      <c r="J24" s="131" t="n">
        <v>3</v>
      </c>
      <c r="K24" s="131" t="inlineStr">
        <is>
          <t>The case identifies supply-chain attacks as a significant banking threat and relies on an external development partner.</t>
        </is>
      </c>
      <c r="L24" s="131" t="n">
        <v>4</v>
      </c>
      <c r="M24" s="131" t="inlineStr">
        <is>
          <t>A compromised supplier could introduce weaknesses into a customer-facing banking application.</t>
        </is>
      </c>
      <c r="N24" s="125">
        <f>IFERROR(RiskAssessment[[#This Row],[Likelihood]]*RiskAssessment[[#This Row],[Impact]],"Calculated")</f>
        <v/>
      </c>
      <c r="O24" s="198">
        <f>IF(N24="Calculated","Calculated",IF(N24&gt;15," CRITICAL",IF(N24&gt;11," HIGH",IF(N24&gt;4," MEDIUM"," LOW"))))</f>
        <v/>
      </c>
      <c r="P24" s="131" t="inlineStr">
        <is>
          <t>Modify</t>
        </is>
      </c>
      <c r="Q24" s="131" t="inlineStr">
        <is>
          <t>Define and maintain security requirements for the external development partner and require secure testing data and development practices.</t>
        </is>
      </c>
      <c r="R24" s="131" t="inlineStr">
        <is>
          <t>A.5.19 Information security in supplier relationships; A.5.20 Addressing information security within supplier agreements; A.8.25 Secure development life cycle</t>
        </is>
      </c>
      <c r="S24" s="132" t="n">
        <v>0</v>
      </c>
      <c r="T24" s="131" t="inlineStr">
        <is>
          <t>Vendor Management and IT Management</t>
        </is>
      </c>
      <c r="U24" s="131" t="inlineStr">
        <is>
          <t>60 days</t>
        </is>
      </c>
      <c r="V24" s="131" t="inlineStr">
        <is>
          <t>0%</t>
        </is>
      </c>
      <c r="W24" s="131" t="inlineStr">
        <is>
          <t>Not Started</t>
        </is>
      </c>
      <c r="X24" s="131" t="n">
        <v>2</v>
      </c>
      <c r="Y24" s="131" t="inlineStr">
        <is>
          <t>Clear security requirements and supplier oversight reduce the probability of an unmanaged third-party weakness.</t>
        </is>
      </c>
      <c r="Z24" s="131" t="n">
        <v>4</v>
      </c>
      <c r="AA24" s="131" t="inlineStr">
        <is>
          <t>Afaq Plus remains customer-facing and business-critical.</t>
        </is>
      </c>
      <c r="AB24" s="125">
        <f>IFERROR(RiskAssessment[[#This Row],[Post-Treatment Likelihood]]*RiskAssessment[[#This Row],[Post- Treatment Impact]],"Calculated")</f>
        <v/>
      </c>
      <c r="AC24" s="198">
        <f>IF(AB24="Calculated","Calculated",IF(AB24&gt;15," CRITICAL",IF(AB24&gt;11," HIGH",IF(AB24&gt;4," MEDIUM"," LOW"))))</f>
        <v/>
      </c>
      <c r="AD24" s="131" t="inlineStr">
        <is>
          <t>The case study explicitly identifies the need for clear security requirements and a secure test environment for the mobile application company.</t>
        </is>
      </c>
    </row>
    <row r="25" ht="210.4" customHeight="1" s="104">
      <c r="B25" s="131" t="n">
        <v>12</v>
      </c>
      <c r="C25" s="131" t="inlineStr">
        <is>
          <t>Cloud Services</t>
        </is>
      </c>
      <c r="D25" s="131" t="inlineStr">
        <is>
          <t>AWS-hosted non-critical systems</t>
        </is>
      </c>
      <c r="E25" s="133" t="inlineStr">
        <is>
          <t>Third-party cloud security failure</t>
        </is>
      </c>
      <c r="F25" s="133" t="inlineStr">
        <is>
          <t>Some non-critical systems use Amazon Web Services and require clear security responsibilities.</t>
        </is>
      </c>
      <c r="G25" s="131" t="inlineStr">
        <is>
          <t>CIA</t>
        </is>
      </c>
      <c r="H25" s="131" t="inlineStr">
        <is>
          <t>CIO</t>
        </is>
      </c>
      <c r="I25" s="131" t="inlineStr">
        <is>
          <t>Cloud services are used for some non-critical systems and the bank has information security governance resources.</t>
        </is>
      </c>
      <c r="J25" s="131" t="n">
        <v>3</v>
      </c>
      <c r="K25" s="131" t="inlineStr">
        <is>
          <t>Cloud services create shared-responsibility and supplier-security considerations identified in the case study.</t>
        </is>
      </c>
      <c r="L25" s="131" t="n">
        <v>4</v>
      </c>
      <c r="M25" s="131" t="inlineStr">
        <is>
          <t>A security failure or unclear responsibility could expose information or interrupt supporting services.</t>
        </is>
      </c>
      <c r="N25" s="125">
        <f>IFERROR(RiskAssessment[[#This Row],[Likelihood]]*RiskAssessment[[#This Row],[Impact]],"Calculated")</f>
        <v/>
      </c>
      <c r="O25" s="198">
        <f>IF(N25="Calculated","Calculated",IF(N25&gt;15," CRITICAL",IF(N25&gt;11," HIGH",IF(N25&gt;4," MEDIUM"," LOW"))))</f>
        <v/>
      </c>
      <c r="P25" s="131" t="inlineStr">
        <is>
          <t>Modify</t>
        </is>
      </c>
      <c r="Q25" s="131" t="inlineStr">
        <is>
          <t>Document security responsibilities, acceptable-use requirements, and oversight expectations for cloud services.</t>
        </is>
      </c>
      <c r="R25" s="131" t="inlineStr">
        <is>
          <t>A.5.23 Information security for use of cloud services; A.5.19 Information security in supplier relationships</t>
        </is>
      </c>
      <c r="S25" s="132" t="n">
        <v>0</v>
      </c>
      <c r="T25" s="131" t="inlineStr">
        <is>
          <t>IT Governance Manager</t>
        </is>
      </c>
      <c r="U25" s="131" t="inlineStr">
        <is>
          <t>60 days</t>
        </is>
      </c>
      <c r="V25" s="131" t="inlineStr">
        <is>
          <t>0%</t>
        </is>
      </c>
      <c r="W25" s="131" t="inlineStr">
        <is>
          <t>Not Started</t>
        </is>
      </c>
      <c r="X25" s="131" t="n">
        <v>2</v>
      </c>
      <c r="Y25" s="131" t="inlineStr">
        <is>
          <t>Defined responsibilities and supplier oversight reduce the likelihood of unmanaged cloud security gaps.</t>
        </is>
      </c>
      <c r="Z25" s="131" t="n">
        <v>3</v>
      </c>
      <c r="AA25" s="131" t="inlineStr">
        <is>
          <t>The systems are described as non-critical, reducing the expected business impact compared with core banking services.</t>
        </is>
      </c>
      <c r="AB25" s="125">
        <f>IFERROR(RiskAssessment[[#This Row],[Post-Treatment Likelihood]]*RiskAssessment[[#This Row],[Post- Treatment Impact]],"Calculated")</f>
        <v/>
      </c>
      <c r="AC25" s="198">
        <f>IF(AB25="Calculated","Calculated",IF(AB25&gt;15," CRITICAL",IF(AB25&gt;11," HIGH",IF(AB25&gt;4," MEDIUM"," LOW"))))</f>
        <v/>
      </c>
      <c r="AD25" s="131" t="inlineStr">
        <is>
          <t>Residual risk is Medium-Low in nature but retained as Medium by the template's scoring thresholds.</t>
        </is>
      </c>
    </row>
    <row r="26" ht="180.55" customHeight="1" s="104">
      <c r="B26" s="131" t="n">
        <v>13</v>
      </c>
      <c r="C26" s="131" t="inlineStr">
        <is>
          <t>Information</t>
        </is>
      </c>
      <c r="D26" s="131" t="inlineStr">
        <is>
          <t>Customer personal and financial data</t>
        </is>
      </c>
      <c r="E26" s="133" t="inlineStr">
        <is>
          <t>Unauthorized disclosure or misuse of customer information</t>
        </is>
      </c>
      <c r="F26" s="133" t="inlineStr">
        <is>
          <t>The bank holds extensive personal, financial, biometric, authentication, and communication data.</t>
        </is>
      </c>
      <c r="G26" s="131" t="inlineStr">
        <is>
          <t>C</t>
        </is>
      </c>
      <c r="H26" s="131" t="inlineStr">
        <is>
          <t>CISO</t>
        </is>
      </c>
      <c r="I26" s="131" t="inlineStr">
        <is>
          <t>Oracle customer database with high availability and disaster recovery replication, access controls, endpoint security, and security monitoring capabilities.</t>
        </is>
      </c>
      <c r="J26" s="131" t="n">
        <v>3</v>
      </c>
      <c r="K26" s="131" t="inlineStr">
        <is>
          <t>The volume and sensitivity of customer data make unauthorized access a credible and material threat.</t>
        </is>
      </c>
      <c r="L26" s="131" t="n">
        <v>5</v>
      </c>
      <c r="M26" s="131" t="inlineStr">
        <is>
          <t>A significant data breach could lead to regulatory consequences, customer harm, financial cost, and reputational damage.</t>
        </is>
      </c>
      <c r="N26" s="125">
        <f>IFERROR(RiskAssessment[[#This Row],[Likelihood]]*RiskAssessment[[#This Row],[Impact]],"Calculated")</f>
        <v/>
      </c>
      <c r="O26" s="198">
        <f>IF(N26="Calculated","Calculated",IF(N26&gt;15," CRITICAL",IF(N26&gt;11," HIGH",IF(N26&gt;4," MEDIUM"," LOW"))))</f>
        <v/>
      </c>
      <c r="P26" s="131" t="inlineStr">
        <is>
          <t>Modify</t>
        </is>
      </c>
      <c r="Q26" s="131" t="inlineStr">
        <is>
          <t>Strengthen data access governance, monitoring, incident escalation, and compliance documentation for customer information.</t>
        </is>
      </c>
      <c r="R26" s="131" t="inlineStr">
        <is>
          <t>A.5.12 Classification of information; A.5.15 Access control; A.5.18 Access rights</t>
        </is>
      </c>
      <c r="S26" s="132" t="n">
        <v>0</v>
      </c>
      <c r="T26" s="131" t="inlineStr">
        <is>
          <t>CISO</t>
        </is>
      </c>
      <c r="U26" s="131" t="inlineStr">
        <is>
          <t>60 days</t>
        </is>
      </c>
      <c r="V26" s="131" t="inlineStr">
        <is>
          <t>0%</t>
        </is>
      </c>
      <c r="W26" s="131" t="inlineStr">
        <is>
          <t>Not Started</t>
        </is>
      </c>
      <c r="X26" s="131" t="n">
        <v>2</v>
      </c>
      <c r="Y26" s="131" t="inlineStr">
        <is>
          <t>Improved governance and access review reduce the likelihood of unauthorized disclosure.</t>
        </is>
      </c>
      <c r="Z26" s="131" t="n">
        <v>5</v>
      </c>
      <c r="AA26" s="131" t="inlineStr">
        <is>
          <t>Customer data remains highly sensitive and its compromise would remain severe.</t>
        </is>
      </c>
      <c r="AB26" s="125">
        <f>IFERROR(RiskAssessment[[#This Row],[Post-Treatment Likelihood]]*RiskAssessment[[#This Row],[Post- Treatment Impact]],"Calculated")</f>
        <v/>
      </c>
      <c r="AC26" s="198">
        <f>IF(AB26="Calculated","Calculated",IF(AB26&gt;15," CRITICAL",IF(AB26&gt;11," HIGH",IF(AB26&gt;4," MEDIUM"," LOW"))))</f>
        <v/>
      </c>
      <c r="AD26" s="131" t="inlineStr">
        <is>
          <t>The case study requires compliance with SAMA and SDAIA requirements and strong protection of customer information.</t>
        </is>
      </c>
    </row>
    <row r="27" ht="150.7" customHeight="1" s="104">
      <c r="B27" s="131" t="n">
        <v>14</v>
      </c>
      <c r="C27" s="131" t="inlineStr">
        <is>
          <t>Business Continuity</t>
        </is>
      </c>
      <c r="D27" s="131" t="inlineStr">
        <is>
          <t>Digital banking infrastructure</t>
        </is>
      </c>
      <c r="E27" s="131" t="inlineStr">
        <is>
          <t>Service disruption caused by human error during critical network changes</t>
        </is>
      </c>
      <c r="F27" s="131" t="inlineStr">
        <is>
          <t>A previous firewall change accidentally deleted a critical rule and blocked inbound connections to banking application servers.</t>
        </is>
      </c>
      <c r="G27" s="131" t="inlineStr">
        <is>
          <t>A</t>
        </is>
      </c>
      <c r="H27" s="131" t="inlineStr">
        <is>
          <t>Network Manager</t>
        </is>
      </c>
      <c r="I27" s="131" t="inlineStr">
        <is>
          <t>High-availability Palo Alto firewalls, network team, SOC, and incident response resources.</t>
        </is>
      </c>
      <c r="J27" s="131" t="n">
        <v>4</v>
      </c>
      <c r="K27" s="131" t="inlineStr">
        <is>
          <t>A major service outage caused by a network configuration error occurred two years before the assessment.</t>
        </is>
      </c>
      <c r="L27" s="131" t="n">
        <v>5</v>
      </c>
      <c r="M27" s="131" t="inlineStr">
        <is>
          <t>The previous incident stopped mobile and online banking services for three hours during a payroll peak period.</t>
        </is>
      </c>
      <c r="N27" s="125">
        <f>IFERROR(RiskAssessment[[#This Row],[Likelihood]]*RiskAssessment[[#This Row],[Impact]],"Calculated")</f>
        <v/>
      </c>
      <c r="O27" s="198">
        <f>IF(N27="Calculated","Calculated",IF(N27&gt;15," CRITICAL",IF(N27&gt;11," HIGH",IF(N27&gt;4," MEDIUM"," LOW"))))</f>
        <v/>
      </c>
      <c r="P27" s="131" t="inlineStr">
        <is>
          <t>Modify</t>
        </is>
      </c>
      <c r="Q27" s="131" t="inlineStr">
        <is>
          <t>Require peer review for critical network changes, maintain rollback arrangements, and improve operational monitoring of critical services.</t>
        </is>
      </c>
      <c r="R27" s="131" t="inlineStr">
        <is>
          <t>A.8.9 Configuration management; A.8.20 Networks security; A.5.37 Documented operating procedures</t>
        </is>
      </c>
      <c r="S27" s="132" t="n">
        <v>0</v>
      </c>
      <c r="T27" s="131" t="inlineStr">
        <is>
          <t>Network Manager</t>
        </is>
      </c>
      <c r="U27" s="131" t="inlineStr">
        <is>
          <t>30 days</t>
        </is>
      </c>
      <c r="V27" s="131" t="inlineStr">
        <is>
          <t>0%</t>
        </is>
      </c>
      <c r="W27" s="131" t="inlineStr">
        <is>
          <t>Not Started</t>
        </is>
      </c>
      <c r="X27" s="131" t="n">
        <v>2</v>
      </c>
      <c r="Y27" s="131" t="inlineStr">
        <is>
          <t>Peer review and rollback arrangements reduce the likelihood and duration of configuration-related outages.</t>
        </is>
      </c>
      <c r="Z27" s="131" t="n">
        <v>5</v>
      </c>
      <c r="AA27" s="131" t="inlineStr">
        <is>
          <t>Digital banking availability remains business-critical.</t>
        </is>
      </c>
      <c r="AB27" s="125">
        <f>IFERROR(RiskAssessment[[#This Row],[Post-Treatment Likelihood]]*RiskAssessment[[#This Row],[Post- Treatment Impact]],"Calculated")</f>
        <v/>
      </c>
      <c r="AC27" s="198">
        <f>IF(AB27="Calculated","Calculated",IF(AB27&gt;15," CRITICAL",IF(AB27&gt;11," HIGH",IF(AB27&gt;4," MEDIUM"," LOW"))))</f>
        <v/>
      </c>
      <c r="AD27" s="131" t="inlineStr">
        <is>
          <t>The case study identified the absence of dual review, rapid rollback, and effective performance monitoring as weaknesses.</t>
        </is>
      </c>
    </row>
    <row r="28" ht="135.8" customHeight="1" s="104">
      <c r="B28" s="131" t="n">
        <v>15</v>
      </c>
      <c r="C28" s="131" t="inlineStr">
        <is>
          <t>Monitoring</t>
        </is>
      </c>
      <c r="D28" s="131" t="inlineStr">
        <is>
          <t>Security logs and SIEM capability</t>
        </is>
      </c>
      <c r="E28" s="131" t="inlineStr">
        <is>
          <t>Delayed detection of security incidents</t>
        </is>
      </c>
      <c r="F28" s="131" t="inlineStr">
        <is>
          <t>Centralized logs are collected, but SIEM analysis is currently performed manually.</t>
        </is>
      </c>
      <c r="G28" s="131" t="inlineStr">
        <is>
          <t>A</t>
        </is>
      </c>
      <c r="H28" s="131" t="inlineStr">
        <is>
          <t>SOC Manager</t>
        </is>
      </c>
      <c r="I28" s="131" t="inlineStr">
        <is>
          <t>Syslog server for centralized event collection, SOC with eight analysts, IDS/IPS, and fraud detection.</t>
        </is>
      </c>
      <c r="J28" s="131" t="n">
        <v>4</v>
      </c>
      <c r="K28" s="131" t="inlineStr">
        <is>
          <t>Manual log analysis can delay recognition and response to abnormal activity; previous incidents were not always detected promptly.</t>
        </is>
      </c>
      <c r="L28" s="131" t="n">
        <v>4</v>
      </c>
      <c r="M28" s="131" t="inlineStr">
        <is>
          <t>Delayed detection can increase the duration and impact of security incidents.</t>
        </is>
      </c>
      <c r="N28" s="125">
        <f>IFERROR(RiskAssessment[[#This Row],[Likelihood]]*RiskAssessment[[#This Row],[Impact]],"Calculated")</f>
        <v/>
      </c>
      <c r="O28" s="198">
        <f>IF(N28="Calculated","Calculated",IF(N28&gt;15," CRITICAL",IF(N28&gt;11," HIGH",IF(N28&gt;4," MEDIUM"," LOW"))))</f>
        <v/>
      </c>
      <c r="P28" s="131" t="inlineStr">
        <is>
          <t>Modify</t>
        </is>
      </c>
      <c r="Q28" s="131" t="inlineStr">
        <is>
          <t>Improve documented log monitoring and escalation practices and establish consistent analysis and response responsibilities.</t>
        </is>
      </c>
      <c r="R28" s="131" t="inlineStr">
        <is>
          <t>A.8.15 Logging; A.8.16 Monitoring activities; A.5.37 Documented operating procedures</t>
        </is>
      </c>
      <c r="S28" s="132" t="n">
        <v>0</v>
      </c>
      <c r="T28" s="131" t="inlineStr">
        <is>
          <t>SOC Manager</t>
        </is>
      </c>
      <c r="U28" s="131" t="inlineStr">
        <is>
          <t>60 days</t>
        </is>
      </c>
      <c r="V28" s="131" t="inlineStr">
        <is>
          <t>0%</t>
        </is>
      </c>
      <c r="W28" s="131" t="inlineStr">
        <is>
          <t>Not Started</t>
        </is>
      </c>
      <c r="X28" s="131" t="n">
        <v>2</v>
      </c>
      <c r="Y28" s="131" t="inlineStr">
        <is>
          <t>Consistent monitoring and escalation reduce the likelihood of prolonged undetected activity.</t>
        </is>
      </c>
      <c r="Z28" s="131" t="n">
        <v>4</v>
      </c>
      <c r="AA28" s="131" t="inlineStr">
        <is>
          <t>Monitoring improvements reduce exposure but cannot eliminate incident impact.</t>
        </is>
      </c>
      <c r="AB28" s="125">
        <f>IFERROR(RiskAssessment[[#This Row],[Post-Treatment Likelihood]]*RiskAssessment[[#This Row],[Post- Treatment Impact]],"Calculated")</f>
        <v/>
      </c>
      <c r="AC28" s="198">
        <f>IF(AB28="Calculated","Calculated",IF(AB28&gt;15," CRITICAL",IF(AB28&gt;11," HIGH",IF(AB28&gt;4," MEDIUM"," LOW"))))</f>
        <v/>
      </c>
      <c r="AD28" s="131" t="inlineStr">
        <is>
          <t>The case study states that SIEM analysis is not automated and that monitoring weaknesses contributed to delayed detection.</t>
        </is>
      </c>
    </row>
    <row r="29" ht="150.7" customHeight="1" s="104">
      <c r="B29" s="131" t="n">
        <v>16</v>
      </c>
      <c r="C29" s="131" t="inlineStr">
        <is>
          <t>Threat Intelligence</t>
        </is>
      </c>
      <c r="D29" s="131" t="inlineStr">
        <is>
          <t>Cybersecurity threat information</t>
        </is>
      </c>
      <c r="E29" s="131" t="inlineStr">
        <is>
          <t>Insufficiently systematic threat intelligence</t>
        </is>
      </c>
      <c r="F29" s="131" t="inlineStr">
        <is>
          <t>The bank is aware of sector threats but threat intelligence collection and analysis are not sufficiently systematic.</t>
        </is>
      </c>
      <c r="G29" s="131" t="inlineStr">
        <is>
          <t>CIA</t>
        </is>
      </c>
      <c r="H29" s="131" t="inlineStr">
        <is>
          <t>CISO</t>
        </is>
      </c>
      <c r="I29" s="131" t="inlineStr">
        <is>
          <t>Information Security Governance Team, SOC, external vulnerability consultant, and existing security solutions.</t>
        </is>
      </c>
      <c r="J29" s="131" t="n">
        <v>4</v>
      </c>
      <c r="K29" s="131" t="inlineStr">
        <is>
          <t>The case study explicitly identifies a weakness in systematic collection and analysis of threat intelligence.</t>
        </is>
      </c>
      <c r="L29" s="131" t="n">
        <v>3</v>
      </c>
      <c r="M29" s="131" t="inlineStr">
        <is>
          <t>Insufficiently current threat information may delay preventive action against relevant threats.</t>
        </is>
      </c>
      <c r="N29" s="125">
        <f>IFERROR(RiskAssessment[[#This Row],[Likelihood]]*RiskAssessment[[#This Row],[Impact]],"Calculated")</f>
        <v/>
      </c>
      <c r="O29" s="198">
        <f>IF(N29="Calculated","Calculated",IF(N29&gt;15," CRITICAL",IF(N29&gt;11," HIGH",IF(N29&gt;4," MEDIUM"," LOW"))))</f>
        <v/>
      </c>
      <c r="P29" s="131" t="inlineStr">
        <is>
          <t>Modify</t>
        </is>
      </c>
      <c r="Q29" s="131" t="inlineStr">
        <is>
          <t>Establish a documented process for collecting, assessing, and communicating relevant cybersecurity threat information.</t>
        </is>
      </c>
      <c r="R29" s="131" t="inlineStr">
        <is>
          <t>A.5.7 Threat intelligence</t>
        </is>
      </c>
      <c r="S29" s="132" t="n">
        <v>0</v>
      </c>
      <c r="T29" s="131" t="inlineStr">
        <is>
          <t>Information Security Governance Manager</t>
        </is>
      </c>
      <c r="U29" s="131" t="inlineStr">
        <is>
          <t>60 days</t>
        </is>
      </c>
      <c r="V29" s="131" t="inlineStr">
        <is>
          <t>0%</t>
        </is>
      </c>
      <c r="W29" s="131" t="inlineStr">
        <is>
          <t>Not Started</t>
        </is>
      </c>
      <c r="X29" s="131" t="n">
        <v>2</v>
      </c>
      <c r="Y29" s="131" t="inlineStr">
        <is>
          <t>A structured process improves the likelihood that relevant threats are identified and communicated in time.</t>
        </is>
      </c>
      <c r="Z29" s="131" t="n">
        <v>3</v>
      </c>
      <c r="AA29" s="131" t="inlineStr">
        <is>
          <t>Threat intelligence supports prevention and response but does not itself remove all threats.</t>
        </is>
      </c>
      <c r="AB29" s="125">
        <f>IFERROR(RiskAssessment[[#This Row],[Post-Treatment Likelihood]]*RiskAssessment[[#This Row],[Post- Treatment Impact]],"Calculated")</f>
        <v/>
      </c>
      <c r="AC29" s="198">
        <f>IF(AB29="Calculated","Calculated",IF(AB29&gt;15," CRITICAL",IF(AB29&gt;11," HIGH",IF(AB29&gt;4," MEDIUM"," LOW"))))</f>
        <v/>
      </c>
      <c r="AD29" s="131" t="inlineStr">
        <is>
          <t>The risk is directly supported by the case study's assessment of current threat-intelligence practices.</t>
        </is>
      </c>
    </row>
    <row r="30" ht="165.65" customHeight="1" s="104">
      <c r="B30" s="131" t="n">
        <v>17</v>
      </c>
      <c r="C30" s="131" t="inlineStr">
        <is>
          <t>Development and Testing</t>
        </is>
      </c>
      <c r="D30" s="131" t="inlineStr">
        <is>
          <t>Development, testing, and staging environments</t>
        </is>
      </c>
      <c r="E30" s="131" t="inlineStr">
        <is>
          <t>Exposure of real information in test environments</t>
        </is>
      </c>
      <c r="F30" s="131" t="inlineStr">
        <is>
          <t>The case study identifies the use of real data in testing as a control gap.</t>
        </is>
      </c>
      <c r="G30" s="131" t="inlineStr">
        <is>
          <t>C</t>
        </is>
      </c>
      <c r="H30" s="131" t="inlineStr">
        <is>
          <t>Software Development Manager</t>
        </is>
      </c>
      <c r="I30" s="131" t="inlineStr">
        <is>
          <t>Separate virtual development, testing, and staging servers are intended to be isolated from production; Enterprise GitLab supports source-code management.</t>
        </is>
      </c>
      <c r="J30" s="131" t="n">
        <v>3</v>
      </c>
      <c r="K30" s="131" t="inlineStr">
        <is>
          <t>The case study identifies use of real data in test environments as a current weakness.</t>
        </is>
      </c>
      <c r="L30" s="131" t="n">
        <v>5</v>
      </c>
      <c r="M30" s="131" t="inlineStr">
        <is>
          <t>Exposure of real customer or operational information in non-production environments could cause confidentiality and compliance issues.</t>
        </is>
      </c>
      <c r="N30" s="125">
        <f>IFERROR(RiskAssessment[[#This Row],[Likelihood]]*RiskAssessment[[#This Row],[Impact]],"Calculated")</f>
        <v/>
      </c>
      <c r="O30" s="198">
        <f>IF(N30="Calculated","Calculated",IF(N30&gt;15," CRITICAL",IF(N30&gt;11," HIGH",IF(N30&gt;4," MEDIUM"," LOW"))))</f>
        <v/>
      </c>
      <c r="P30" s="131" t="inlineStr">
        <is>
          <t>Modify</t>
        </is>
      </c>
      <c r="Q30" s="131" t="inlineStr">
        <is>
          <t>Use controlled test information and strengthen documented separation between production and non-production environments.</t>
        </is>
      </c>
      <c r="R30" s="131" t="inlineStr">
        <is>
          <t>A.8.31 Separation of development, test and production environments; A.8.33 Test information</t>
        </is>
      </c>
      <c r="S30" s="132" t="n">
        <v>0</v>
      </c>
      <c r="T30" s="131" t="inlineStr">
        <is>
          <t>Software Development Manager</t>
        </is>
      </c>
      <c r="U30" s="131" t="inlineStr">
        <is>
          <t>45 days</t>
        </is>
      </c>
      <c r="V30" s="131" t="inlineStr">
        <is>
          <t>0%</t>
        </is>
      </c>
      <c r="W30" s="131" t="inlineStr">
        <is>
          <t>Not Started</t>
        </is>
      </c>
      <c r="X30" s="131" t="n">
        <v>1</v>
      </c>
      <c r="Y30" s="131" t="inlineStr">
        <is>
          <t>Controlled test information and separation reduce the likelihood of real-data exposure.</t>
        </is>
      </c>
      <c r="Z30" s="131" t="n">
        <v>5</v>
      </c>
      <c r="AA30" s="131" t="inlineStr">
        <is>
          <t>Sensitive information would remain high impact if exposed.</t>
        </is>
      </c>
      <c r="AB30" s="125">
        <f>IFERROR(RiskAssessment[[#This Row],[Post-Treatment Likelihood]]*RiskAssessment[[#This Row],[Post- Treatment Impact]],"Calculated")</f>
        <v/>
      </c>
      <c r="AC30" s="198">
        <f>IF(AB30="Calculated","Calculated",IF(AB30&gt;15," CRITICAL",IF(AB30&gt;11," HIGH",IF(AB30&gt;4," MEDIUM"," LOW"))))</f>
        <v/>
      </c>
      <c r="AD30" s="131" t="inlineStr">
        <is>
          <t>The treatment directly addresses the case-study gaps identified for A.8.11, A.8.31, and A.8.33.</t>
        </is>
      </c>
    </row>
    <row r="31" ht="150.7" customHeight="1" s="104">
      <c r="B31" s="131" t="n">
        <v>18</v>
      </c>
      <c r="C31" s="131" t="inlineStr">
        <is>
          <t>Privileged Access</t>
        </is>
      </c>
      <c r="D31" s="131" t="inlineStr">
        <is>
          <t>Administrative accounts and passwords</t>
        </is>
      </c>
      <c r="E31" s="131" t="inlineStr">
        <is>
          <t>Unauthorized use of privileged credentials</t>
        </is>
      </c>
      <c r="F31" s="131" t="inlineStr">
        <is>
          <t>Administrative passwords are managed manually and the case study identifies password sharing as a control gap.</t>
        </is>
      </c>
      <c r="G31" s="131" t="inlineStr">
        <is>
          <t>CIA</t>
        </is>
      </c>
      <c r="H31" s="131" t="inlineStr">
        <is>
          <t>IT Manager</t>
        </is>
      </c>
      <c r="I31" s="131" t="inlineStr">
        <is>
          <t>Active Directory, RSA SecurID MFA for remote access to some sensitive systems, and security operations personnel.</t>
        </is>
      </c>
      <c r="J31" s="131" t="n">
        <v>4</v>
      </c>
      <c r="K31" s="131" t="inlineStr">
        <is>
          <t>Manual management and identified password-sharing weaknesses increase the probability of privileged credential misuse.</t>
        </is>
      </c>
      <c r="L31" s="131" t="n">
        <v>5</v>
      </c>
      <c r="M31" s="131" t="inlineStr">
        <is>
          <t>Compromise of privileged credentials could provide broad access to sensitive systems and information.</t>
        </is>
      </c>
      <c r="N31" s="125">
        <f>IFERROR(RiskAssessment[[#This Row],[Likelihood]]*RiskAssessment[[#This Row],[Impact]],"Calculated")</f>
        <v/>
      </c>
      <c r="O31" s="198">
        <f>IF(N31="Calculated","Calculated",IF(N31&gt;15," CRITICAL",IF(N31&gt;11," HIGH",IF(N31&gt;4," MEDIUM"," LOW"))))</f>
        <v/>
      </c>
      <c r="P31" s="131" t="inlineStr">
        <is>
          <t>Modify</t>
        </is>
      </c>
      <c r="Q31" s="131" t="inlineStr">
        <is>
          <t>Strengthen privileged access governance, eliminate password sharing, and review privileged access rights regularly.</t>
        </is>
      </c>
      <c r="R31" s="131" t="inlineStr">
        <is>
          <t>A.5.18 Access rights; A.8.2 Privileged access rights; A.6.3 Information security awareness, education and training</t>
        </is>
      </c>
      <c r="S31" s="132" t="n">
        <v>0</v>
      </c>
      <c r="T31" s="131" t="inlineStr">
        <is>
          <t>IT Manager</t>
        </is>
      </c>
      <c r="U31" s="131" t="inlineStr">
        <is>
          <t>30 days</t>
        </is>
      </c>
      <c r="V31" s="131" t="inlineStr">
        <is>
          <t>0%</t>
        </is>
      </c>
      <c r="W31" s="131" t="inlineStr">
        <is>
          <t>Not Started</t>
        </is>
      </c>
      <c r="X31" s="131" t="n">
        <v>2</v>
      </c>
      <c r="Y31" s="131" t="inlineStr">
        <is>
          <t>Stronger privileged-access governance and elimination of sharing reduce the probability of misuse.</t>
        </is>
      </c>
      <c r="Z31" s="131" t="n">
        <v>5</v>
      </c>
      <c r="AA31" s="131" t="inlineStr">
        <is>
          <t>Privileged access remains capable of causing severe impact.</t>
        </is>
      </c>
      <c r="AB31" s="125">
        <f>IFERROR(RiskAssessment[[#This Row],[Post-Treatment Likelihood]]*RiskAssessment[[#This Row],[Post- Treatment Impact]],"Calculated")</f>
        <v/>
      </c>
      <c r="AC31" s="198">
        <f>IF(AB31="Calculated","Calculated",IF(AB31&gt;15," CRITICAL",IF(AB31&gt;11," HIGH",IF(AB31&gt;4," MEDIUM"," LOW"))))</f>
        <v/>
      </c>
      <c r="AD31" s="131" t="inlineStr">
        <is>
          <t>The case study explicitly identifies password sharing as a gap related to A.5.18 and A.8.2.</t>
        </is>
      </c>
    </row>
    <row r="32" ht="165.65" customHeight="1" s="104">
      <c r="B32" s="131" t="n">
        <v>19</v>
      </c>
      <c r="C32" s="131" t="inlineStr">
        <is>
          <t>Legacy Systems</t>
        </is>
      </c>
      <c r="D32" s="131" t="inlineStr">
        <is>
          <t>Legacy payroll system</t>
        </is>
      </c>
      <c r="E32" s="131" t="inlineStr">
        <is>
          <t>Exploitation or operational failure of a legacy business system</t>
        </is>
      </c>
      <c r="F32" s="131" t="inlineStr">
        <is>
          <t>The legacy payroll system is planned for replacement within two years and remains in use.</t>
        </is>
      </c>
      <c r="G32" s="131" t="inlineStr">
        <is>
          <t>CIA</t>
        </is>
      </c>
      <c r="H32" s="131" t="inlineStr">
        <is>
          <t>HR and IT Managers</t>
        </is>
      </c>
      <c r="I32" s="131" t="inlineStr">
        <is>
          <t>SAP ERP supports financial and HR resources; the legacy payroll system is scheduled for replacement.</t>
        </is>
      </c>
      <c r="J32" s="131" t="n">
        <v>3</v>
      </c>
      <c r="K32" s="131" t="inlineStr">
        <is>
          <t>The system is old and scheduled for replacement, increasing the need for controlled risk management during the transition period.</t>
        </is>
      </c>
      <c r="L32" s="131" t="n">
        <v>3</v>
      </c>
      <c r="M32" s="131" t="inlineStr">
        <is>
          <t>A failure or compromise could affect payroll operations and employee information.</t>
        </is>
      </c>
      <c r="N32" s="125">
        <f>IFERROR(RiskAssessment[[#This Row],[Likelihood]]*RiskAssessment[[#This Row],[Impact]],"Calculated")</f>
        <v/>
      </c>
      <c r="O32" s="198">
        <f>IF(N32="Calculated","Calculated",IF(N32&gt;15," CRITICAL",IF(N32&gt;11," HIGH",IF(N32&gt;4," MEDIUM"," LOW"))))</f>
        <v/>
      </c>
      <c r="P32" s="131" t="inlineStr">
        <is>
          <t>Modify</t>
        </is>
      </c>
      <c r="Q32" s="131" t="inlineStr">
        <is>
          <t>Maintain documented security and operational controls for the legacy payroll system until replacement is completed.</t>
        </is>
      </c>
      <c r="R32" s="131" t="inlineStr">
        <is>
          <t>A.8.8 Management of technical vulnerabilities; A.8.9 Configuration management; A.5.37 Documented operating procedures</t>
        </is>
      </c>
      <c r="S32" s="132" t="n">
        <v>0</v>
      </c>
      <c r="T32" s="131" t="inlineStr">
        <is>
          <t>HR and IT Managers</t>
        </is>
      </c>
      <c r="U32" s="131" t="inlineStr">
        <is>
          <t>90 days</t>
        </is>
      </c>
      <c r="V32" s="131" t="inlineStr">
        <is>
          <t>0%</t>
        </is>
      </c>
      <c r="W32" s="131" t="inlineStr">
        <is>
          <t>Not Started</t>
        </is>
      </c>
      <c r="X32" s="131" t="n">
        <v>2</v>
      </c>
      <c r="Y32" s="131" t="inlineStr">
        <is>
          <t>Interim controls and documented management reduce the likelihood of uncontrolled exposure during the remaining lifecycle.</t>
        </is>
      </c>
      <c r="Z32" s="131" t="n">
        <v>3</v>
      </c>
      <c r="AA32" s="131" t="inlineStr">
        <is>
          <t>Impact is material to employees and HR operations but narrower than core customer banking services.</t>
        </is>
      </c>
      <c r="AB32" s="125">
        <f>IFERROR(RiskAssessment[[#This Row],[Post-Treatment Likelihood]]*RiskAssessment[[#This Row],[Post- Treatment Impact]],"Calculated")</f>
        <v/>
      </c>
      <c r="AC32" s="198">
        <f>IF(AB32="Calculated","Calculated",IF(AB32&gt;15," CRITICAL",IF(AB32&gt;11," HIGH",IF(AB32&gt;4," MEDIUM"," LOW"))))</f>
        <v/>
      </c>
      <c r="AD32" s="131" t="inlineStr">
        <is>
          <t>The case study confirms the planned replacement timeframe.</t>
        </is>
      </c>
    </row>
    <row r="33" ht="135.8" customHeight="1" s="104">
      <c r="B33" s="131" t="n">
        <v>20</v>
      </c>
      <c r="C33" s="131" t="inlineStr">
        <is>
          <t>Security Culture</t>
        </is>
      </c>
      <c r="D33" s="131" t="inlineStr">
        <is>
          <t>All employees</t>
        </is>
      </c>
      <c r="E33" s="131" t="inlineStr">
        <is>
          <t>Human error and weak security awareness</t>
        </is>
      </c>
      <c r="F33" s="131" t="inlineStr">
        <is>
          <t>Security culture is not fully established and a recent phishing simulation recorded 25% link clicks, 12% credential submissions, and only 8% reporting.</t>
        </is>
      </c>
      <c r="G33" s="131" t="inlineStr">
        <is>
          <t>CIA</t>
        </is>
      </c>
      <c r="H33" s="131" t="inlineStr">
        <is>
          <t>CISO</t>
        </is>
      </c>
      <c r="I33" s="131" t="inlineStr">
        <is>
          <t>Security email gateway, security teams, incident reporting channels, and existing awareness activities.</t>
        </is>
      </c>
      <c r="J33" s="131" t="n">
        <v>4</v>
      </c>
      <c r="K33" s="131" t="inlineStr">
        <is>
          <t>The recent simulation demonstrates significant susceptibility to phishing and limited reporting behavior.</t>
        </is>
      </c>
      <c r="L33" s="131" t="n">
        <v>4</v>
      </c>
      <c r="M33" s="131" t="inlineStr">
        <is>
          <t>Weak awareness can contribute to credential compromise, fraud, data disclosure, and operational incidents.</t>
        </is>
      </c>
      <c r="N33" s="125">
        <f>IFERROR(RiskAssessment[[#This Row],[Likelihood]]*RiskAssessment[[#This Row],[Impact]],"Calculated")</f>
        <v/>
      </c>
      <c r="O33" s="198">
        <f>IF(N33="Calculated","Calculated",IF(N33&gt;15," CRITICAL",IF(N33&gt;11," HIGH",IF(N33&gt;4," MEDIUM"," LOW"))))</f>
        <v/>
      </c>
      <c r="P33" s="131" t="inlineStr">
        <is>
          <t>Modify</t>
        </is>
      </c>
      <c r="Q33" s="131" t="inlineStr">
        <is>
          <t>Deliver continuous role-based security awareness and repeat phishing simulations with targeted follow-up for higher-risk departments.</t>
        </is>
      </c>
      <c r="R33" s="131" t="inlineStr">
        <is>
          <t>A.6.3 Information security awareness, education and training; A.5.37 Documented operating procedures</t>
        </is>
      </c>
      <c r="S33" s="132" t="n">
        <v>0</v>
      </c>
      <c r="T33" s="131" t="inlineStr">
        <is>
          <t>Information Security Governance Manager</t>
        </is>
      </c>
      <c r="U33" s="131" t="inlineStr">
        <is>
          <t>90 days</t>
        </is>
      </c>
      <c r="V33" s="131" t="inlineStr">
        <is>
          <t>0%</t>
        </is>
      </c>
      <c r="W33" s="131" t="inlineStr">
        <is>
          <t>Not Started</t>
        </is>
      </c>
      <c r="X33" s="131" t="n">
        <v>2</v>
      </c>
      <c r="Y33" s="131" t="inlineStr">
        <is>
          <t>Targeted awareness and repeated practice reduce the likelihood of successful social engineering.</t>
        </is>
      </c>
      <c r="Z33" s="131" t="n">
        <v>4</v>
      </c>
      <c r="AA33" s="131" t="inlineStr">
        <is>
          <t>Employees remain an important control boundary for banking operations.</t>
        </is>
      </c>
      <c r="AB33" s="125">
        <f>IFERROR(RiskAssessment[[#This Row],[Post-Treatment Likelihood]]*RiskAssessment[[#This Row],[Post- Treatment Impact]],"Calculated")</f>
        <v/>
      </c>
      <c r="AC33" s="198">
        <f>IF(AB33="Calculated","Calculated",IF(AB33&gt;15," CRITICAL",IF(AB33&gt;11," HIGH",IF(AB33&gt;4," MEDIUM"," LOW"))))</f>
        <v/>
      </c>
      <c r="AD33" s="131" t="inlineStr">
        <is>
          <t>The case study notes a need for cultural change and multilingual awareness materials.</t>
        </is>
      </c>
    </row>
  </sheetData>
  <mergeCells count="4">
    <mergeCell ref="P12:W12"/>
    <mergeCell ref="I12:O12"/>
    <mergeCell ref="X12:AD12"/>
    <mergeCell ref="B12:H12"/>
  </mergeCells>
  <conditionalFormatting sqref="Q14:AB33">
    <cfRule type="expression" rank="0" priority="2" equalAverage="0" aboveAverage="0" dxfId="6" text="" percent="0" bottom="0">
      <formula>$P14="Accept"</formula>
    </cfRule>
  </conditionalFormatting>
  <conditionalFormatting sqref="O14:O33 AC14:AC33">
    <cfRule type="cellIs" rank="0" priority="3" equalAverage="0" operator="equal" aboveAverage="0" dxfId="7" text="" percent="0" bottom="0">
      <formula>" HIGH"</formula>
    </cfRule>
    <cfRule type="cellIs" rank="0" priority="4" equalAverage="0" operator="equal" aboveAverage="0" dxfId="8" text="" percent="0" bottom="0">
      <formula>" MEDIUM"</formula>
    </cfRule>
    <cfRule type="cellIs" rank="0" priority="5" equalAverage="0" operator="equal" aboveAverage="0" dxfId="9" text="" percent="0" bottom="0">
      <formula>" LOW"</formula>
    </cfRule>
  </conditionalFormatting>
  <dataValidations count="4">
    <dataValidation sqref="G14:G33" showDropDown="0" showInputMessage="1" showErrorMessage="1" allowBlank="1" type="list" errorStyle="stop" operator="between">
      <formula1>'Selection Tables'!$B$16:$B$23</formula1>
      <formula2>0</formula2>
    </dataValidation>
    <dataValidation sqref="J14:J33 L14:L33 X14:X33 Z14:Z33" showDropDown="0" showInputMessage="1" showErrorMessage="1" allowBlank="1" type="list" errorStyle="stop" operator="between">
      <formula1>'Selection Tables'!$B$7:$B$12</formula1>
      <formula2>0</formula2>
    </dataValidation>
    <dataValidation sqref="P14:P33" showDropDown="0" showInputMessage="1" showErrorMessage="1" allowBlank="1" promptTitle="If Choosing Accept" prompt="If choosing to Accept the risk, please ensure that the post-treatment likelihood and impact are set to pre-treatment values." type="list" errorStyle="stop" operator="between">
      <formula1>'Selection Tables'!$E$7:$E$11</formula1>
      <formula2>0</formula2>
    </dataValidation>
    <dataValidation sqref="W14:W33" showDropDown="0" showInputMessage="1" showErrorMessage="1" allowBlank="1" type="list" errorStyle="stop" operator="between">
      <formula1>'Selection Tables'!$E$16:$E$20</formula1>
      <formula2>0</formula2>
    </dataValidation>
  </dataValidations>
  <printOptions horizontalCentered="0" verticalCentered="0" headings="0" gridLines="0" gridLinesSet="1"/>
  <pageMargins left="0.708333333333333" right="0.708333333333333" top="0.747916666666667" bottom="0.748611111111111" header="0.511811023622047" footer="0.315277777777778"/>
  <pageSetup orientation="landscape" paperSize="9" scale="100" fitToHeight="0" fitToWidth="1" pageOrder="downThenOver" blackAndWhite="0" draft="0" horizontalDpi="300" verticalDpi="300" copies="1"/>
  <headerFooter differentOddEven="0" differentFirst="0">
    <oddHeader/>
    <oddFooter>&amp;L&amp;D&amp;CPage &amp;P of &amp;N&amp;R[Insert classification]</oddFooter>
    <evenHeader/>
    <evenFooter/>
    <firstHeader/>
    <firstFooter/>
  </headerFooter>
  <colBreaks count="2" manualBreakCount="2">
    <brk id="15" min="0" max="65535" man="1"/>
    <brk id="23" min="0" max="65535" man="1"/>
  </colBreaks>
  <drawing xmlns:r="http://schemas.openxmlformats.org/officeDocument/2006/relationships" r:id="rId1"/>
  <legacyDrawing xmlns:r="http://schemas.openxmlformats.org/officeDocument/2006/relationships" r:id="anysvml"/>
  <tableParts count="1">
    <tablePart xmlns:r="http://schemas.openxmlformats.org/officeDocument/2006/relationships" r:id="rId2"/>
  </tableParts>
</worksheet>
</file>

<file path=xl/worksheets/sheet4.xml><?xml version="1.0" encoding="utf-8"?>
<worksheet xmlns="http://schemas.openxmlformats.org/spreadsheetml/2006/main">
  <sheetPr filterMode="0">
    <outlinePr summaryBelow="1" summaryRight="1"/>
    <pageSetUpPr fitToPage="0"/>
  </sheetPr>
  <dimension ref="B4:C15"/>
  <sheetViews>
    <sheetView showFormulas="0" showGridLines="0" showRowColHeaders="1" showZeros="1" rightToLeft="0" tabSelected="0" showOutlineSymbols="1" defaultGridColor="1" view="normal" topLeftCell="A1" colorId="64" zoomScale="103" zoomScaleNormal="103" zoomScalePageLayoutView="100" workbookViewId="0">
      <selection pane="topLeft" activeCell="A1" activeCellId="0" sqref="A1"/>
    </sheetView>
  </sheetViews>
  <sheetFormatPr baseColWidth="8" defaultColWidth="8.59765625" defaultRowHeight="14.25" zeroHeight="0" outlineLevelRow="0"/>
  <cols>
    <col width="2.89" customWidth="1" style="123" min="1" max="1"/>
    <col width="11.67" customWidth="1" style="123" min="2" max="2"/>
    <col width="14.34" customWidth="1" style="123" min="3" max="3"/>
  </cols>
  <sheetData>
    <row r="4" ht="17.35" customHeight="1" s="104">
      <c r="B4" s="136" t="inlineStr">
        <is>
          <t>Number of Pre-treatment risks by risk level</t>
        </is>
      </c>
    </row>
    <row r="5" ht="17.35" customHeight="1" s="104">
      <c r="B5" s="136" t="n"/>
    </row>
    <row r="6" ht="14.25" customHeight="1" s="104">
      <c r="B6" s="137" t="inlineStr">
        <is>
          <t>Risk level</t>
        </is>
      </c>
      <c r="C6" s="137" t="inlineStr">
        <is>
          <t>Pre-treatment</t>
        </is>
      </c>
    </row>
    <row r="7" ht="14.25" customHeight="1" s="104">
      <c r="B7" s="123" t="inlineStr">
        <is>
          <t xml:space="preserve"> Low</t>
        </is>
      </c>
      <c r="C7" s="123">
        <f>COUNTIF(RiskAssessment[Risk Level],PreTreatmentRisksByRiskLevel[[#This Row],[Risk level]])</f>
        <v/>
      </c>
    </row>
    <row r="8" ht="14.25" customHeight="1" s="104">
      <c r="B8" s="123" t="inlineStr">
        <is>
          <t xml:space="preserve"> Medium</t>
        </is>
      </c>
      <c r="C8" s="123">
        <f>COUNTIF(RiskAssessment[Risk Level],PreTreatmentRisksByRiskLevel[[#This Row],[Risk level]])</f>
        <v/>
      </c>
    </row>
    <row r="9" ht="14.25" customHeight="1" s="104">
      <c r="B9" s="123" t="inlineStr">
        <is>
          <t xml:space="preserve"> High</t>
        </is>
      </c>
      <c r="C9" s="123">
        <f>COUNTIF(RiskAssessment[Risk Level],PreTreatmentRisksByRiskLevel[[#This Row],[Risk level]])</f>
        <v/>
      </c>
    </row>
    <row r="10" ht="15" customHeight="1" s="104">
      <c r="B10" s="136" t="n"/>
    </row>
    <row r="11" ht="15" customHeight="1" s="104">
      <c r="B11" s="136" t="n"/>
    </row>
    <row r="12" ht="15" customHeight="1" s="104">
      <c r="B12" s="138" t="inlineStr">
        <is>
          <t>Risk level</t>
        </is>
      </c>
      <c r="C12" s="139" t="inlineStr">
        <is>
          <t xml:space="preserve">Pre-treatment </t>
        </is>
      </c>
    </row>
    <row r="13" ht="14.25" customHeight="1" s="104">
      <c r="B13" s="140" t="inlineStr">
        <is>
          <t xml:space="preserve"> Low</t>
        </is>
      </c>
      <c r="C13" s="141" t="n">
        <v>0</v>
      </c>
    </row>
    <row r="14" ht="14.25" customHeight="1" s="104">
      <c r="B14" s="142" t="inlineStr">
        <is>
          <t xml:space="preserve"> Medium</t>
        </is>
      </c>
      <c r="C14" s="143" t="n">
        <v>1</v>
      </c>
    </row>
    <row r="15" ht="14.25" customHeight="1" s="104">
      <c r="B15" s="144" t="inlineStr">
        <is>
          <t xml:space="preserve"> High</t>
        </is>
      </c>
      <c r="C15" s="145" t="n">
        <v>19</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5.xml><?xml version="1.0" encoding="utf-8"?>
<worksheet xmlns="http://schemas.openxmlformats.org/spreadsheetml/2006/main">
  <sheetPr filterMode="0">
    <outlinePr summaryBelow="1" summaryRight="1"/>
    <pageSetUpPr fitToPage="0"/>
  </sheetPr>
  <dimension ref="B4:D16"/>
  <sheetViews>
    <sheetView showFormulas="0" showGridLines="0" showRowColHeaders="1" showZeros="1" rightToLeft="0" tabSelected="0" showOutlineSymbols="1" defaultGridColor="1" view="normal" topLeftCell="A1" colorId="64" zoomScale="103" zoomScaleNormal="103" zoomScalePageLayoutView="100" workbookViewId="0">
      <selection pane="topLeft" activeCell="A1" activeCellId="0" sqref="A1"/>
    </sheetView>
  </sheetViews>
  <sheetFormatPr baseColWidth="8" defaultColWidth="8.59765625" defaultRowHeight="14.25" zeroHeight="0" outlineLevelRow="0"/>
  <cols>
    <col width="2.89" customWidth="1" style="123" min="1" max="1"/>
    <col width="21" customWidth="1" style="123" min="2" max="2"/>
    <col width="13.33" customWidth="1" style="123" min="3" max="3"/>
    <col width="10.11" customWidth="1" style="123" min="4" max="4"/>
  </cols>
  <sheetData>
    <row r="4" ht="17.35" customHeight="1" s="104">
      <c r="B4" s="136" t="inlineStr">
        <is>
          <t>Pre-treatment risk levels by risk owner</t>
        </is>
      </c>
    </row>
    <row r="6" ht="14.25" customHeight="1" s="104">
      <c r="B6" s="138" t="inlineStr">
        <is>
          <t>Risk Level</t>
        </is>
      </c>
      <c r="C6" s="146" t="inlineStr">
        <is>
          <t>Risk Owner</t>
        </is>
      </c>
      <c r="D6" s="139" t="inlineStr">
        <is>
          <t xml:space="preserve">Risk Level </t>
        </is>
      </c>
    </row>
    <row r="7" ht="14.25" customHeight="1" s="104">
      <c r="B7" s="140" t="inlineStr">
        <is>
          <t xml:space="preserve"> HIGH</t>
        </is>
      </c>
      <c r="C7" s="147" t="inlineStr">
        <is>
          <t>CIO</t>
        </is>
      </c>
      <c r="D7" s="141" t="n">
        <v>3</v>
      </c>
    </row>
    <row r="8" ht="14.25" customHeight="1" s="104">
      <c r="B8" s="142" t="n"/>
      <c r="C8" s="148" t="inlineStr">
        <is>
          <t>CISO</t>
        </is>
      </c>
      <c r="D8" s="143" t="n">
        <v>5</v>
      </c>
    </row>
    <row r="9" ht="14.25" customHeight="1" s="104">
      <c r="B9" s="142" t="n"/>
      <c r="C9" s="148" t="inlineStr">
        <is>
          <t>Finance Manager</t>
        </is>
      </c>
      <c r="D9" s="143" t="n">
        <v>1</v>
      </c>
    </row>
    <row r="10" ht="14.25" customHeight="1" s="104">
      <c r="B10" s="142" t="n"/>
      <c r="C10" s="148" t="inlineStr">
        <is>
          <t>Head of Banking Applications</t>
        </is>
      </c>
      <c r="D10" s="143" t="n">
        <v>2</v>
      </c>
    </row>
    <row r="11" ht="14.25" customHeight="1" s="104">
      <c r="B11" s="142" t="n"/>
      <c r="C11" s="148" t="inlineStr">
        <is>
          <t>Infrastructure and Networks Manager</t>
        </is>
      </c>
      <c r="D11" s="143" t="n">
        <v>1</v>
      </c>
    </row>
    <row r="12" ht="14.25" customHeight="1" s="104">
      <c r="B12" s="142" t="n"/>
      <c r="C12" s="148" t="inlineStr">
        <is>
          <t>IT Manager</t>
        </is>
      </c>
      <c r="D12" s="143" t="n">
        <v>3</v>
      </c>
    </row>
    <row r="13" ht="14.25" customHeight="1" s="104">
      <c r="B13" s="142" t="n"/>
      <c r="C13" s="148" t="inlineStr">
        <is>
          <t>Network Manager</t>
        </is>
      </c>
      <c r="D13" s="143" t="n">
        <v>2</v>
      </c>
    </row>
    <row r="14" ht="14.25" customHeight="1" s="104">
      <c r="B14" s="142" t="n"/>
      <c r="C14" s="148" t="inlineStr">
        <is>
          <t>SOC Manager</t>
        </is>
      </c>
      <c r="D14" s="143" t="n">
        <v>1</v>
      </c>
    </row>
    <row r="15" ht="14.25" customHeight="1" s="104">
      <c r="B15" s="149" t="n"/>
      <c r="C15" s="150" t="inlineStr">
        <is>
          <t>Software Development Manager</t>
        </is>
      </c>
      <c r="D15" s="151" t="n">
        <v>1</v>
      </c>
    </row>
    <row r="16" ht="14.25" customHeight="1" s="104">
      <c r="B16" s="152" t="inlineStr">
        <is>
          <t xml:space="preserve"> MEDIUM</t>
        </is>
      </c>
      <c r="C16" s="153" t="inlineStr">
        <is>
          <t>HR and IT Managers</t>
        </is>
      </c>
      <c r="D16" s="154" t="n">
        <v>1</v>
      </c>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B4:C15"/>
  <sheetViews>
    <sheetView showFormulas="0" showGridLines="0" showRowColHeaders="1" showZeros="1" rightToLeft="0" tabSelected="0" showOutlineSymbols="1" defaultGridColor="1" view="normal" topLeftCell="A1" colorId="64" zoomScale="103" zoomScaleNormal="103" zoomScalePageLayoutView="100" workbookViewId="0">
      <selection pane="topLeft" activeCell="A1" activeCellId="0" sqref="A1"/>
    </sheetView>
  </sheetViews>
  <sheetFormatPr baseColWidth="8" defaultColWidth="8.59765625" defaultRowHeight="14.25" zeroHeight="0" outlineLevelRow="0"/>
  <cols>
    <col width="2.89" customWidth="1" style="123" min="1" max="1"/>
    <col width="11.67" customWidth="1" style="123" min="2" max="2"/>
    <col width="15.11" customWidth="1" style="123" min="3" max="3"/>
  </cols>
  <sheetData>
    <row r="4" ht="17.35" customHeight="1" s="104">
      <c r="B4" s="136" t="inlineStr">
        <is>
          <t>Number of Post-mitigation risks by risk level</t>
        </is>
      </c>
    </row>
    <row r="6" ht="14.25" customHeight="1" s="104">
      <c r="B6" s="137" t="inlineStr">
        <is>
          <t>Risk level</t>
        </is>
      </c>
      <c r="C6" s="137" t="inlineStr">
        <is>
          <t>Post-treatment</t>
        </is>
      </c>
    </row>
    <row r="7" ht="14.25" customHeight="1" s="104">
      <c r="B7" s="123" t="inlineStr">
        <is>
          <t xml:space="preserve"> Low</t>
        </is>
      </c>
      <c r="C7" s="123">
        <f>COUNTIF(RiskAssessment[Post-Treatment Risk Level],RisksByRiskLevelPreandPostTreatment10[[#This Row],[Risk level]])</f>
        <v/>
      </c>
    </row>
    <row r="8" ht="14.25" customHeight="1" s="104">
      <c r="B8" s="123" t="inlineStr">
        <is>
          <t xml:space="preserve"> Medium</t>
        </is>
      </c>
      <c r="C8" s="123">
        <f>COUNTIF(RiskAssessment[Post-Treatment Risk Level],RisksByRiskLevelPreandPostTreatment10[[#This Row],[Risk level]])</f>
        <v/>
      </c>
    </row>
    <row r="9" ht="14.25" customHeight="1" s="104">
      <c r="B9" s="123" t="inlineStr">
        <is>
          <t xml:space="preserve"> High</t>
        </is>
      </c>
      <c r="C9" s="123">
        <f>COUNTIF(RiskAssessment[Post-Treatment Risk Level],RisksByRiskLevelPreandPostTreatment10[[#This Row],[Risk level]])</f>
        <v/>
      </c>
    </row>
    <row r="10" ht="17.35" customHeight="1" s="104">
      <c r="B10" s="136" t="n"/>
    </row>
    <row r="12" ht="14.25" customHeight="1" s="104">
      <c r="B12" s="138" t="inlineStr">
        <is>
          <t>Risk level</t>
        </is>
      </c>
      <c r="C12" s="139" t="inlineStr">
        <is>
          <t xml:space="preserve">Post-treatment </t>
        </is>
      </c>
    </row>
    <row r="13" ht="14.25" customHeight="1" s="104">
      <c r="B13" s="140" t="inlineStr">
        <is>
          <t xml:space="preserve"> Low</t>
        </is>
      </c>
      <c r="C13" s="141" t="n">
        <v>1</v>
      </c>
    </row>
    <row r="14" ht="14.25" customHeight="1" s="104">
      <c r="B14" s="142" t="inlineStr">
        <is>
          <t xml:space="preserve"> Medium</t>
        </is>
      </c>
      <c r="C14" s="143" t="n">
        <v>19</v>
      </c>
    </row>
    <row r="15" ht="14.25" customHeight="1" s="104">
      <c r="B15" s="144" t="inlineStr">
        <is>
          <t xml:space="preserve"> High</t>
        </is>
      </c>
      <c r="C15" s="145" t="n">
        <v>0</v>
      </c>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tableParts count="1">
    <tablePart xmlns:r="http://schemas.openxmlformats.org/officeDocument/2006/relationships" r:id="rId1"/>
  </tableParts>
</worksheet>
</file>

<file path=xl/worksheets/sheet7.xml><?xml version="1.0" encoding="utf-8"?>
<worksheet xmlns="http://schemas.openxmlformats.org/spreadsheetml/2006/main">
  <sheetPr filterMode="0">
    <outlinePr summaryBelow="1" summaryRight="1"/>
    <pageSetUpPr fitToPage="0"/>
  </sheetPr>
  <dimension ref="B4:D16"/>
  <sheetViews>
    <sheetView showFormulas="0" showGridLines="0" showRowColHeaders="1" showZeros="1" rightToLeft="0" tabSelected="0" showOutlineSymbols="1" defaultGridColor="1" view="normal" topLeftCell="A1" colorId="64" zoomScale="103" zoomScaleNormal="103" zoomScalePageLayoutView="100" workbookViewId="0">
      <selection pane="topLeft" activeCell="A1" activeCellId="0" sqref="A1"/>
    </sheetView>
  </sheetViews>
  <sheetFormatPr baseColWidth="8" defaultColWidth="8.59765625" defaultRowHeight="14.25" zeroHeight="0" outlineLevelRow="0"/>
  <cols>
    <col width="2.89" customWidth="1" style="123" min="1" max="1"/>
    <col width="11.67" customWidth="1" style="123" min="2" max="2"/>
    <col width="14.34" customWidth="1" style="123" min="3" max="3"/>
    <col width="15.11" customWidth="1" style="123" min="4" max="4"/>
  </cols>
  <sheetData>
    <row r="4" ht="17.35" customHeight="1" s="104">
      <c r="B4" s="155" t="inlineStr">
        <is>
          <t>Number of risks by risk level pre and post treatment</t>
        </is>
      </c>
    </row>
    <row r="6" ht="14.25" customHeight="1" s="104">
      <c r="B6" s="137" t="inlineStr">
        <is>
          <t>Risk level</t>
        </is>
      </c>
      <c r="C6" s="137" t="inlineStr">
        <is>
          <t>Pre-treatment</t>
        </is>
      </c>
      <c r="D6" s="137" t="inlineStr">
        <is>
          <t>Post-treatment</t>
        </is>
      </c>
    </row>
    <row r="7" ht="14.25" customHeight="1" s="104">
      <c r="B7" s="123" t="inlineStr">
        <is>
          <t xml:space="preserve"> Low</t>
        </is>
      </c>
      <c r="C7" s="123">
        <f>COUNTIF(RiskAssessment[Risk Level],PreMitigationRisksByRiskLevel10[[#This Row],[Risk level]])</f>
        <v/>
      </c>
      <c r="D7" s="123">
        <f>COUNTIF(RiskAssessment[Post-Treatment Risk Level],PreMitigationRisksByRiskLevel10[[#This Row],[Risk level]])</f>
        <v/>
      </c>
    </row>
    <row r="8" ht="14.25" customHeight="1" s="104">
      <c r="B8" s="123" t="inlineStr">
        <is>
          <t xml:space="preserve"> Medium</t>
        </is>
      </c>
      <c r="C8" s="123">
        <f>COUNTIF(RiskAssessment[Risk Level],PreMitigationRisksByRiskLevel10[[#This Row],[Risk level]])</f>
        <v/>
      </c>
      <c r="D8" s="123">
        <f>COUNTIF(RiskAssessment[Post-Treatment Risk Level],PreMitigationRisksByRiskLevel10[[#This Row],[Risk level]])</f>
        <v/>
      </c>
    </row>
    <row r="9" ht="14.25" customHeight="1" s="104">
      <c r="B9" s="123" t="inlineStr">
        <is>
          <t xml:space="preserve"> High</t>
        </is>
      </c>
      <c r="C9" s="123">
        <f>COUNTIF(RiskAssessment[Risk Level],PreMitigationRisksByRiskLevel10[[#This Row],[Risk level]])</f>
        <v/>
      </c>
      <c r="D9" s="123">
        <f>COUNTIF(RiskAssessment[Post-Treatment Risk Level],PreMitigationRisksByRiskLevel10[[#This Row],[Risk level]])</f>
        <v/>
      </c>
    </row>
    <row r="12" ht="14.25" customHeight="1" s="104">
      <c r="B12" s="156" t="n"/>
      <c r="C12" s="146" t="inlineStr">
        <is>
          <t>Data</t>
        </is>
      </c>
      <c r="D12" s="157" t="n"/>
    </row>
    <row r="13" ht="14.25" customHeight="1" s="104">
      <c r="B13" s="158" t="inlineStr">
        <is>
          <t>Risk level</t>
        </is>
      </c>
      <c r="C13" s="159" t="inlineStr">
        <is>
          <t xml:space="preserve">Pre-treatment </t>
        </is>
      </c>
      <c r="D13" s="160" t="inlineStr">
        <is>
          <t xml:space="preserve">Post-treatment </t>
        </is>
      </c>
    </row>
    <row r="14" ht="14.25" customHeight="1" s="104">
      <c r="B14" s="140" t="inlineStr">
        <is>
          <t xml:space="preserve"> Low</t>
        </is>
      </c>
      <c r="C14" s="161" t="n">
        <v>0</v>
      </c>
      <c r="D14" s="162" t="n">
        <v>1</v>
      </c>
    </row>
    <row r="15" ht="14.25" customHeight="1" s="104">
      <c r="B15" s="142" t="inlineStr">
        <is>
          <t xml:space="preserve"> Medium</t>
        </is>
      </c>
      <c r="C15" s="163" t="n">
        <v>1</v>
      </c>
      <c r="D15" s="164" t="n">
        <v>19</v>
      </c>
    </row>
    <row r="16" ht="14.25" customHeight="1" s="104">
      <c r="B16" s="144" t="inlineStr">
        <is>
          <t xml:space="preserve"> High</t>
        </is>
      </c>
      <c r="C16" s="165" t="n">
        <v>19</v>
      </c>
      <c r="D16" s="166" t="n">
        <v>0</v>
      </c>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tableParts count="1">
    <tablePart xmlns:r="http://schemas.openxmlformats.org/officeDocument/2006/relationships" r:id="rId1"/>
  </tableParts>
</worksheet>
</file>

<file path=xl/worksheets/sheet8.xml><?xml version="1.0" encoding="utf-8"?>
<worksheet xmlns="http://schemas.openxmlformats.org/spreadsheetml/2006/main">
  <sheetPr filterMode="0">
    <outlinePr summaryBelow="1" summaryRight="1"/>
    <pageSetUpPr fitToPage="0"/>
  </sheetPr>
  <dimension ref="B4:C7"/>
  <sheetViews>
    <sheetView showFormulas="0" showGridLines="0" showRowColHeaders="1" showZeros="1" rightToLeft="0" tabSelected="0" showOutlineSymbols="1" defaultGridColor="1" view="normal" topLeftCell="A1" colorId="64" zoomScale="103" zoomScaleNormal="103" zoomScalePageLayoutView="100" workbookViewId="0">
      <selection pane="topLeft" activeCell="A1" activeCellId="0" sqref="A1"/>
    </sheetView>
  </sheetViews>
  <sheetFormatPr baseColWidth="8" defaultColWidth="8.59765625" defaultRowHeight="14.25" zeroHeight="0" outlineLevelRow="0"/>
  <cols>
    <col width="2.89" customWidth="1" style="123" min="1" max="1"/>
    <col width="26.56" customWidth="1" style="123" min="2" max="2"/>
    <col width="20.11" customWidth="1" style="123" min="3" max="3"/>
  </cols>
  <sheetData>
    <row r="4" ht="17.35" customHeight="1" s="104">
      <c r="B4" s="136" t="inlineStr">
        <is>
          <t>Risks by treatment option chosen</t>
        </is>
      </c>
    </row>
    <row r="6" ht="14.25" customHeight="1" s="104">
      <c r="B6" s="138" t="inlineStr">
        <is>
          <t>Treatment Option Chosen</t>
        </is>
      </c>
      <c r="C6" s="139" t="inlineStr">
        <is>
          <t>Count of Asset Group</t>
        </is>
      </c>
    </row>
    <row r="7" ht="14.25" customHeight="1" s="104">
      <c r="B7" s="152" t="inlineStr">
        <is>
          <t>Modify</t>
        </is>
      </c>
      <c r="C7" s="154" t="n">
        <v>20</v>
      </c>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B4:C8"/>
  <sheetViews>
    <sheetView showFormulas="0" showGridLines="0" showRowColHeaders="1" showZeros="1" rightToLeft="0" tabSelected="0" showOutlineSymbols="1" defaultGridColor="1" view="normal" topLeftCell="A1" colorId="64" zoomScale="103" zoomScaleNormal="103" zoomScalePageLayoutView="100" workbookViewId="0">
      <selection pane="topLeft" activeCell="A1" activeCellId="0" sqref="A1"/>
    </sheetView>
  </sheetViews>
  <sheetFormatPr baseColWidth="8" defaultColWidth="8.59765625" defaultRowHeight="14.25" zeroHeight="0" outlineLevelRow="0"/>
  <cols>
    <col width="2.89" customWidth="1" style="123" min="1" max="1"/>
    <col width="12" customWidth="1" style="123" min="2" max="2"/>
    <col width="21.56" customWidth="1" style="123" min="3" max="3"/>
  </cols>
  <sheetData>
    <row r="4" ht="17.35" customHeight="1" s="104">
      <c r="B4" s="136" t="inlineStr">
        <is>
          <t>Total treatment cost by risk level</t>
        </is>
      </c>
    </row>
    <row r="6" ht="14.25" customHeight="1" s="104">
      <c r="B6" s="138" t="inlineStr">
        <is>
          <t>Risk Level</t>
        </is>
      </c>
      <c r="C6" s="139" t="inlineStr">
        <is>
          <t>Sum of Treatment Cost</t>
        </is>
      </c>
    </row>
    <row r="7" ht="14.25" customHeight="1" s="104">
      <c r="B7" s="140" t="inlineStr">
        <is>
          <t xml:space="preserve"> HIGH</t>
        </is>
      </c>
      <c r="C7" s="167" t="n">
        <v>0</v>
      </c>
    </row>
    <row r="8" ht="14.25" customHeight="1" s="104">
      <c r="B8" s="144" t="inlineStr">
        <is>
          <t xml:space="preserve"> MEDIUM</t>
        </is>
      </c>
      <c r="C8" s="168" t="n">
        <v>0</v>
      </c>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B4:D21"/>
  <sheetViews>
    <sheetView showFormulas="0" showGridLines="0" showRowColHeaders="1" showZeros="1" rightToLeft="0" tabSelected="0" showOutlineSymbols="1" defaultGridColor="1" view="normal" topLeftCell="A1" colorId="64" zoomScale="103" zoomScaleNormal="103" zoomScalePageLayoutView="100" workbookViewId="0">
      <selection pane="topLeft" activeCell="A1" activeCellId="0" sqref="A1"/>
    </sheetView>
  </sheetViews>
  <sheetFormatPr baseColWidth="8" defaultColWidth="8.59765625" defaultRowHeight="14.25" zeroHeight="0" outlineLevelRow="0"/>
  <cols>
    <col width="2.89" customWidth="1" style="123" min="1" max="1"/>
    <col width="31.55" customWidth="1" style="123" min="2" max="2"/>
    <col width="12" customWidth="1" style="123" min="3" max="3"/>
    <col width="9.44" customWidth="1" style="123" min="4" max="4"/>
    <col width="6" customWidth="1" style="123" min="5" max="5"/>
    <col width="10.34" customWidth="1" style="123" min="6" max="6"/>
    <col width="11.33" customWidth="1" style="123" min="7" max="7"/>
  </cols>
  <sheetData>
    <row r="4" ht="17.35" customHeight="1" s="104">
      <c r="B4" s="136" t="inlineStr">
        <is>
          <t xml:space="preserve">Treatment action owner </t>
        </is>
      </c>
    </row>
    <row r="6" ht="14.25" customHeight="1" s="104">
      <c r="B6" s="156" t="inlineStr">
        <is>
          <t>Count of Treatment Action Owner</t>
        </is>
      </c>
      <c r="C6" s="146" t="inlineStr">
        <is>
          <t>Risk Level</t>
        </is>
      </c>
      <c r="D6" s="157" t="n"/>
    </row>
    <row r="7" ht="14.25" customHeight="1" s="104">
      <c r="B7" s="158" t="inlineStr">
        <is>
          <t>Treatment Action Owner</t>
        </is>
      </c>
      <c r="C7" s="159" t="inlineStr">
        <is>
          <t xml:space="preserve"> HIGH</t>
        </is>
      </c>
      <c r="D7" s="160" t="inlineStr">
        <is>
          <t xml:space="preserve"> MEDIUM</t>
        </is>
      </c>
    </row>
    <row r="8" ht="14.25" customHeight="1" s="104">
      <c r="B8" s="140" t="inlineStr">
        <is>
          <t>Banking Applications Manager</t>
        </is>
      </c>
      <c r="C8" s="161" t="n">
        <v>2</v>
      </c>
      <c r="D8" s="162" t="n"/>
    </row>
    <row r="9" ht="14.25" customHeight="1" s="104">
      <c r="B9" s="142" t="inlineStr">
        <is>
          <t>CISO</t>
        </is>
      </c>
      <c r="C9" s="163" t="n">
        <v>1</v>
      </c>
      <c r="D9" s="164" t="n"/>
    </row>
    <row r="10" ht="14.25" customHeight="1" s="104">
      <c r="B10" s="142" t="inlineStr">
        <is>
          <t>HR and IT Managers</t>
        </is>
      </c>
      <c r="C10" s="163" t="n"/>
      <c r="D10" s="164" t="n">
        <v>1</v>
      </c>
    </row>
    <row r="11" ht="14.25" customHeight="1" s="104">
      <c r="B11" s="142" t="inlineStr">
        <is>
          <t>Incident Response Manager</t>
        </is>
      </c>
      <c r="C11" s="163" t="n">
        <v>1</v>
      </c>
      <c r="D11" s="164" t="n"/>
    </row>
    <row r="12" ht="14.25" customHeight="1" s="104">
      <c r="B12" s="142" t="inlineStr">
        <is>
          <t>Information Security Governance Manager</t>
        </is>
      </c>
      <c r="C12" s="163" t="n">
        <v>3</v>
      </c>
      <c r="D12" s="164" t="n"/>
    </row>
    <row r="13" ht="14.25" customHeight="1" s="104">
      <c r="B13" s="142" t="inlineStr">
        <is>
          <t>Infrastructure and Networks Manager</t>
        </is>
      </c>
      <c r="C13" s="163" t="n">
        <v>1</v>
      </c>
      <c r="D13" s="164" t="n"/>
    </row>
    <row r="14" ht="14.25" customHeight="1" s="104">
      <c r="B14" s="142" t="inlineStr">
        <is>
          <t>IT Governance Manager</t>
        </is>
      </c>
      <c r="C14" s="163" t="n">
        <v>1</v>
      </c>
      <c r="D14" s="164" t="n"/>
    </row>
    <row r="15" ht="14.25" customHeight="1" s="104">
      <c r="B15" s="142" t="inlineStr">
        <is>
          <t>IT Manager</t>
        </is>
      </c>
      <c r="C15" s="163" t="n">
        <v>3</v>
      </c>
      <c r="D15" s="164" t="n"/>
    </row>
    <row r="16" ht="14.25" customHeight="1" s="104">
      <c r="B16" s="142" t="inlineStr">
        <is>
          <t>IT Operations Manager</t>
        </is>
      </c>
      <c r="C16" s="163" t="n">
        <v>1</v>
      </c>
      <c r="D16" s="164" t="n"/>
    </row>
    <row r="17" ht="14.25" customHeight="1" s="104">
      <c r="B17" s="142" t="inlineStr">
        <is>
          <t>Network Manager</t>
        </is>
      </c>
      <c r="C17" s="163" t="n">
        <v>2</v>
      </c>
      <c r="D17" s="164" t="n"/>
    </row>
    <row r="18" ht="14.25" customHeight="1" s="104">
      <c r="B18" s="142" t="inlineStr">
        <is>
          <t>Risk and Vulnerability Assessment Manager</t>
        </is>
      </c>
      <c r="C18" s="163" t="n">
        <v>1</v>
      </c>
      <c r="D18" s="164" t="n"/>
    </row>
    <row r="19" ht="14.25" customHeight="1" s="104">
      <c r="B19" s="142" t="inlineStr">
        <is>
          <t>SOC Manager</t>
        </is>
      </c>
      <c r="C19" s="163" t="n">
        <v>1</v>
      </c>
      <c r="D19" s="164" t="n"/>
    </row>
    <row r="20" ht="14.25" customHeight="1" s="104">
      <c r="B20" s="142" t="inlineStr">
        <is>
          <t>Software Development Manager</t>
        </is>
      </c>
      <c r="C20" s="163" t="n">
        <v>1</v>
      </c>
      <c r="D20" s="164" t="n"/>
    </row>
    <row r="21" ht="14.25" customHeight="1" s="104">
      <c r="B21" s="144" t="inlineStr">
        <is>
          <t>Vendor Management and IT Management</t>
        </is>
      </c>
      <c r="C21" s="165" t="n">
        <v>1</v>
      </c>
      <c r="D21" s="166"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B4:J26"/>
  <sheetViews>
    <sheetView showFormulas="0" showGridLines="0" showRowColHeaders="1" showZeros="1" rightToLeft="0" tabSelected="0" showOutlineSymbols="1" defaultGridColor="1" view="normal" topLeftCell="A1" colorId="64" zoomScale="103" zoomScaleNormal="103" zoomScalePageLayoutView="100" workbookViewId="0">
      <selection pane="topLeft" activeCell="A1" activeCellId="0" sqref="A1"/>
    </sheetView>
  </sheetViews>
  <sheetFormatPr baseColWidth="8" defaultColWidth="8.59765625" defaultRowHeight="14.25" zeroHeight="0" outlineLevelRow="0"/>
  <cols>
    <col width="2.89" customWidth="1" style="123" min="1" max="1"/>
    <col width="15" customWidth="1" style="123" min="2" max="3"/>
    <col width="9.109999999999999" customWidth="1" style="123" min="4" max="4"/>
    <col width="38.11" customWidth="1" style="123" min="5" max="5"/>
    <col width="16.45" customWidth="1" style="123" min="7" max="7"/>
    <col width="16.33" customWidth="1" style="123" min="8" max="8"/>
    <col width="18.44" customWidth="1" style="123" min="9" max="9"/>
    <col width="11.89" customWidth="1" style="123" min="10" max="10"/>
    <col width="17.33" customWidth="1" style="123" min="11" max="11"/>
  </cols>
  <sheetData>
    <row r="4" ht="19.7" customHeight="1" s="104">
      <c r="B4" s="169" t="inlineStr">
        <is>
          <t>Selection Tables</t>
        </is>
      </c>
      <c r="C4" s="169" t="n"/>
    </row>
    <row r="6" ht="15" customHeight="1" s="104">
      <c r="B6" s="170" t="inlineStr">
        <is>
          <t>ONE TO FIVE</t>
        </is>
      </c>
      <c r="C6" s="171" t="n"/>
      <c r="E6" s="172" t="inlineStr">
        <is>
          <t>OPTIONS</t>
        </is>
      </c>
      <c r="J6" s="173" t="n"/>
    </row>
    <row r="7" ht="14.25" customHeight="1" s="104">
      <c r="B7" s="174" t="inlineStr">
        <is>
          <t>Select…</t>
        </is>
      </c>
      <c r="C7" s="174" t="n"/>
      <c r="D7" s="175" t="n"/>
      <c r="E7" s="123" t="inlineStr">
        <is>
          <t>Select…</t>
        </is>
      </c>
    </row>
    <row r="8" ht="14.25" customHeight="1" s="104">
      <c r="B8" s="174" t="n">
        <v>1</v>
      </c>
      <c r="C8" s="174" t="n"/>
      <c r="D8" s="175" t="n"/>
      <c r="E8" s="123" t="inlineStr">
        <is>
          <t>Accept</t>
        </is>
      </c>
    </row>
    <row r="9" ht="14.25" customHeight="1" s="104">
      <c r="B9" s="174" t="n">
        <v>2</v>
      </c>
      <c r="C9" s="174" t="n"/>
      <c r="D9" s="175" t="n"/>
      <c r="E9" s="123" t="inlineStr">
        <is>
          <t>Avoid</t>
        </is>
      </c>
    </row>
    <row r="10" ht="14.25" customHeight="1" s="104">
      <c r="B10" s="174" t="n">
        <v>3</v>
      </c>
      <c r="C10" s="174" t="n"/>
      <c r="D10" s="175" t="n"/>
      <c r="E10" s="123" t="inlineStr">
        <is>
          <t>Modify</t>
        </is>
      </c>
    </row>
    <row r="11" ht="14.25" customHeight="1" s="104">
      <c r="B11" s="174" t="n">
        <v>4</v>
      </c>
      <c r="C11" s="174" t="n"/>
      <c r="D11" s="175" t="n"/>
      <c r="E11" s="123" t="inlineStr">
        <is>
          <t>Share</t>
        </is>
      </c>
    </row>
    <row r="12" ht="14.25" customHeight="1" s="104">
      <c r="B12" s="174" t="n">
        <v>5</v>
      </c>
      <c r="C12" s="174" t="n"/>
      <c r="D12" s="175" t="n"/>
    </row>
    <row r="13" ht="14.25" customHeight="1" s="104">
      <c r="B13" s="175" t="n"/>
      <c r="C13" s="175" t="n"/>
      <c r="D13" s="175" t="n"/>
    </row>
    <row r="14" ht="14.25" customHeight="1" s="104">
      <c r="B14" s="175" t="n"/>
      <c r="C14" s="175" t="n"/>
      <c r="D14" s="175" t="n"/>
    </row>
    <row r="15" ht="14.25" customHeight="1" s="104">
      <c r="B15" s="172" t="inlineStr">
        <is>
          <t>RISK TYPE</t>
        </is>
      </c>
      <c r="C15" s="176" t="n"/>
      <c r="D15" s="175" t="n"/>
      <c r="E15" s="172" t="inlineStr">
        <is>
          <t>TREATMENT ACTION STATUS</t>
        </is>
      </c>
    </row>
    <row r="16" ht="14.25" customHeight="1" s="104">
      <c r="B16" s="175" t="inlineStr">
        <is>
          <t>Select…</t>
        </is>
      </c>
      <c r="C16" s="175" t="n"/>
      <c r="D16" s="175" t="n"/>
      <c r="E16" s="123" t="inlineStr">
        <is>
          <t>Select…</t>
        </is>
      </c>
    </row>
    <row r="17" ht="14.25" customHeight="1" s="104">
      <c r="B17" s="175" t="inlineStr">
        <is>
          <t>C</t>
        </is>
      </c>
      <c r="C17" s="175" t="n"/>
      <c r="D17" s="175" t="n"/>
      <c r="E17" s="123" t="inlineStr">
        <is>
          <t>Not Started</t>
        </is>
      </c>
    </row>
    <row r="18" ht="14.25" customHeight="1" s="104">
      <c r="B18" s="175" t="inlineStr">
        <is>
          <t>I</t>
        </is>
      </c>
      <c r="C18" s="175" t="n"/>
      <c r="D18" s="175" t="n"/>
      <c r="E18" s="123" t="inlineStr">
        <is>
          <t>In Progress</t>
        </is>
      </c>
    </row>
    <row r="19" ht="14.25" customHeight="1" s="104">
      <c r="B19" s="175" t="inlineStr">
        <is>
          <t>A</t>
        </is>
      </c>
      <c r="C19" s="175" t="n"/>
      <c r="D19" s="175" t="n"/>
      <c r="E19" s="123" t="inlineStr">
        <is>
          <t>Completed</t>
        </is>
      </c>
    </row>
    <row r="20" ht="14.25" customHeight="1" s="104">
      <c r="B20" s="175" t="inlineStr">
        <is>
          <t>CI</t>
        </is>
      </c>
      <c r="C20" s="175" t="n"/>
      <c r="D20" s="175" t="n"/>
      <c r="E20" s="123" t="inlineStr">
        <is>
          <t>Rejected</t>
        </is>
      </c>
    </row>
    <row r="21" ht="14.25" customHeight="1" s="104">
      <c r="B21" s="175" t="inlineStr">
        <is>
          <t>CA</t>
        </is>
      </c>
      <c r="C21" s="175" t="n"/>
      <c r="D21" s="175" t="n"/>
    </row>
    <row r="22" ht="14.25" customHeight="1" s="104">
      <c r="B22" s="175" t="inlineStr">
        <is>
          <t>IA</t>
        </is>
      </c>
      <c r="C22" s="175" t="n"/>
    </row>
    <row r="23" ht="14.25" customHeight="1" s="104">
      <c r="B23" s="175" t="inlineStr">
        <is>
          <t>CIA</t>
        </is>
      </c>
      <c r="C23" s="175" t="n"/>
    </row>
    <row r="24" ht="14.25" customHeight="1" s="104">
      <c r="B24" s="175" t="n"/>
      <c r="C24" s="175" t="n"/>
    </row>
    <row r="25" ht="14.25" customHeight="1" s="104">
      <c r="B25" s="175" t="n"/>
      <c r="C25" s="175" t="n"/>
    </row>
    <row r="26" ht="14.25" customHeight="1" s="104">
      <c r="B26" s="175" t="n"/>
      <c r="C26" s="175" t="n"/>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2.xml><?xml version="1.0" encoding="utf-8"?>
<worksheet xmlns="http://schemas.openxmlformats.org/spreadsheetml/2006/main">
  <sheetPr filterMode="0">
    <outlinePr summaryBelow="1" summaryRight="1"/>
    <pageSetUpPr fitToPage="0"/>
  </sheetPr>
  <dimension ref="B4:T20"/>
  <sheetViews>
    <sheetView showFormulas="0" showGridLines="0" showRowColHeaders="1" showZeros="1" rightToLeft="0" tabSelected="0" showOutlineSymbols="1" defaultGridColor="1" view="normal" topLeftCell="A1" colorId="64" zoomScale="103" zoomScaleNormal="103" zoomScalePageLayoutView="100" workbookViewId="0">
      <selection pane="topLeft" activeCell="A1" activeCellId="0" sqref="A1"/>
    </sheetView>
  </sheetViews>
  <sheetFormatPr baseColWidth="8" defaultColWidth="8.59765625" defaultRowHeight="14.25" zeroHeight="0" outlineLevelRow="0"/>
  <cols>
    <col width="2.89" customWidth="1" style="123" min="1" max="1"/>
    <col width="18" customWidth="1" style="123" min="2" max="2"/>
    <col width="16.33" customWidth="1" style="123" min="3" max="3"/>
    <col width="11.33" customWidth="1" style="123" min="4" max="4"/>
    <col width="5.66" customWidth="1" style="123" min="5" max="5"/>
    <col width="11.33" customWidth="1" style="123" min="6" max="7"/>
    <col width="11" customWidth="1" style="123" min="8" max="8"/>
    <col width="16.55" customWidth="1" style="123" min="9" max="9"/>
    <col width="18.56" customWidth="1" style="123" min="10" max="10"/>
    <col width="22.89" customWidth="1" style="123" min="11" max="11"/>
    <col width="12.33" customWidth="1" style="123" min="12" max="12"/>
    <col width="10.34" customWidth="1" style="123" min="13" max="13"/>
    <col width="12.89" customWidth="1" style="123" min="14" max="14"/>
    <col width="26.67" customWidth="1" style="123" min="15" max="15"/>
    <col width="10.89" customWidth="1" style="123" min="16" max="16"/>
    <col width="11.33" customWidth="1" style="123" min="17" max="17"/>
    <col width="27.67" customWidth="1" style="123" min="18" max="18"/>
    <col width="21.56" customWidth="1" style="123" min="19" max="19"/>
    <col width="11.33" customWidth="1" style="123" min="20" max="20"/>
    <col width="15.33" customWidth="1" style="123" min="21" max="21"/>
    <col width="12.89" customWidth="1" style="123" min="22" max="22"/>
    <col width="7.89" customWidth="1" style="123" min="23" max="23"/>
    <col width="10.56" customWidth="1" style="123" min="24" max="24"/>
    <col width="10.89" customWidth="1" style="123" min="25" max="25"/>
    <col width="12.11" customWidth="1" style="123" min="26" max="27"/>
    <col width="11.33" customWidth="1" style="123" min="28" max="28"/>
  </cols>
  <sheetData>
    <row r="4" ht="19.7" customHeight="1" s="104">
      <c r="B4" s="169" t="inlineStr">
        <is>
          <t>Pivot Tables</t>
        </is>
      </c>
    </row>
    <row r="6" ht="15" customHeight="1" s="104">
      <c r="B6" s="177" t="inlineStr">
        <is>
          <t>Risk Type Table</t>
        </is>
      </c>
      <c r="I6" s="178" t="inlineStr">
        <is>
          <t>Risk Owner Table</t>
        </is>
      </c>
      <c r="J6" s="179" t="n"/>
      <c r="K6" s="179" t="n"/>
      <c r="O6" s="178" t="inlineStr">
        <is>
          <t>Treatment Option Table</t>
        </is>
      </c>
      <c r="R6" s="177" t="inlineStr">
        <is>
          <t>Risks: Pre and Post Treatment</t>
        </is>
      </c>
      <c r="S6" s="180" t="n"/>
      <c r="T6" s="180" t="n"/>
    </row>
    <row r="8" ht="14.25" customHeight="1" s="104">
      <c r="B8" s="156" t="inlineStr">
        <is>
          <t>Count of Risk Level</t>
        </is>
      </c>
      <c r="C8" s="146" t="inlineStr">
        <is>
          <t>Risk Level</t>
        </is>
      </c>
      <c r="D8" s="181" t="n"/>
      <c r="E8" s="157" t="n"/>
      <c r="I8" s="156" t="inlineStr">
        <is>
          <t>Count of Risk Level</t>
        </is>
      </c>
      <c r="J8" s="146" t="inlineStr">
        <is>
          <t>Risk Level</t>
        </is>
      </c>
      <c r="K8" s="181" t="n"/>
      <c r="L8" s="157" t="n"/>
      <c r="O8" s="138" t="inlineStr">
        <is>
          <t>Treatment Option Chosen</t>
        </is>
      </c>
      <c r="P8" s="139" t="inlineStr">
        <is>
          <t>(empty)</t>
        </is>
      </c>
      <c r="R8" s="123" t="inlineStr">
        <is>
          <t>Risk level</t>
        </is>
      </c>
      <c r="S8" s="123" t="inlineStr">
        <is>
          <t>Pre-Treatment</t>
        </is>
      </c>
      <c r="T8" s="123" t="inlineStr">
        <is>
          <t>Post-Treatment</t>
        </is>
      </c>
    </row>
    <row r="9" ht="14.25" customHeight="1" s="104">
      <c r="B9" s="158" t="inlineStr">
        <is>
          <t>Risk Type</t>
        </is>
      </c>
      <c r="C9" s="159" t="inlineStr">
        <is>
          <t xml:space="preserve"> HIGH</t>
        </is>
      </c>
      <c r="D9" s="182" t="inlineStr">
        <is>
          <t xml:space="preserve"> MEDIUM</t>
        </is>
      </c>
      <c r="E9" s="183" t="inlineStr">
        <is>
          <t>Total Result</t>
        </is>
      </c>
      <c r="I9" s="158" t="inlineStr">
        <is>
          <t>Risk Owner</t>
        </is>
      </c>
      <c r="J9" s="159" t="inlineStr">
        <is>
          <t xml:space="preserve"> HIGH</t>
        </is>
      </c>
      <c r="K9" s="182" t="inlineStr">
        <is>
          <t xml:space="preserve"> MEDIUM</t>
        </is>
      </c>
      <c r="L9" s="183" t="inlineStr">
        <is>
          <t>Total Result</t>
        </is>
      </c>
      <c r="O9" s="140" t="inlineStr">
        <is>
          <t>Modify</t>
        </is>
      </c>
      <c r="P9" s="184" t="n"/>
      <c r="R9" s="123" t="inlineStr">
        <is>
          <t xml:space="preserve"> Low</t>
        </is>
      </c>
      <c r="S9" s="123">
        <f>COUNTIF(RiskAssessment[Risk Level],Table1[[#This Row],[Risk level]])</f>
        <v/>
      </c>
      <c r="T9" s="123">
        <f>COUNTIF(RiskAssessment[Post-Treatment Risk Level],Table1[[#This Row],[Risk level]])</f>
        <v/>
      </c>
    </row>
    <row r="10" ht="14.25" customHeight="1" s="104">
      <c r="B10" s="140" t="inlineStr">
        <is>
          <t>A</t>
        </is>
      </c>
      <c r="C10" s="161" t="n">
        <v>3</v>
      </c>
      <c r="D10" s="185" t="n"/>
      <c r="E10" s="186" t="n">
        <v>3</v>
      </c>
      <c r="I10" s="140" t="inlineStr">
        <is>
          <t>CIO</t>
        </is>
      </c>
      <c r="J10" s="161" t="n">
        <v>3</v>
      </c>
      <c r="K10" s="185" t="n"/>
      <c r="L10" s="186" t="n">
        <v>3</v>
      </c>
      <c r="O10" s="187" t="inlineStr">
        <is>
          <t>Total Result</t>
        </is>
      </c>
      <c r="P10" s="188" t="n"/>
      <c r="R10" s="123" t="inlineStr">
        <is>
          <t xml:space="preserve"> Medium</t>
        </is>
      </c>
      <c r="S10" s="123">
        <f>COUNTIF(RiskAssessment[Risk Level],Table1[[#This Row],[Risk level]])</f>
        <v/>
      </c>
      <c r="T10" s="123">
        <f>COUNTIF(RiskAssessment[Post-Treatment Risk Level],Table1[[#This Row],[Risk level]])</f>
        <v/>
      </c>
    </row>
    <row r="11" ht="14.25" customHeight="1" s="104">
      <c r="B11" s="142" t="inlineStr">
        <is>
          <t>C</t>
        </is>
      </c>
      <c r="C11" s="163" t="n">
        <v>3</v>
      </c>
      <c r="D11" s="189" t="n"/>
      <c r="E11" s="190" t="n">
        <v>3</v>
      </c>
      <c r="I11" s="142" t="inlineStr">
        <is>
          <t>CISO</t>
        </is>
      </c>
      <c r="J11" s="163" t="n">
        <v>5</v>
      </c>
      <c r="K11" s="189" t="n"/>
      <c r="L11" s="190" t="n">
        <v>5</v>
      </c>
      <c r="R11" s="123" t="inlineStr">
        <is>
          <t xml:space="preserve"> High</t>
        </is>
      </c>
      <c r="S11" s="123">
        <f>COUNTIF(RiskAssessment[Risk Level],Table1[[#This Row],[Risk level]])</f>
        <v/>
      </c>
      <c r="T11" s="123">
        <f>COUNTIF(RiskAssessment[Post-Treatment Risk Level],Table1[[#This Row],[Risk level]])</f>
        <v/>
      </c>
    </row>
    <row r="12" ht="14.25" customHeight="1" s="104">
      <c r="B12" s="142" t="inlineStr">
        <is>
          <t>CIA</t>
        </is>
      </c>
      <c r="C12" s="191" t="n">
        <v>13</v>
      </c>
      <c r="D12" s="192" t="n">
        <v>1</v>
      </c>
      <c r="E12" s="193" t="n">
        <v>14</v>
      </c>
      <c r="I12" s="142" t="inlineStr">
        <is>
          <t>Finance Manager</t>
        </is>
      </c>
      <c r="J12" s="163" t="n">
        <v>1</v>
      </c>
      <c r="K12" s="189" t="n"/>
      <c r="L12" s="190" t="n">
        <v>1</v>
      </c>
    </row>
    <row r="13" ht="14.25" customHeight="1" s="104">
      <c r="B13" s="187" t="inlineStr">
        <is>
          <t>Total Result</t>
        </is>
      </c>
      <c r="C13" s="194" t="n">
        <v>19</v>
      </c>
      <c r="D13" s="195" t="n">
        <v>1</v>
      </c>
      <c r="E13" s="188" t="n">
        <v>20</v>
      </c>
      <c r="I13" s="142" t="inlineStr">
        <is>
          <t>Head of Banking Applications</t>
        </is>
      </c>
      <c r="J13" s="163" t="n">
        <v>2</v>
      </c>
      <c r="K13" s="189" t="n"/>
      <c r="L13" s="190" t="n">
        <v>2</v>
      </c>
      <c r="R13" s="177" t="inlineStr">
        <is>
          <t>Treatment Cost Table</t>
        </is>
      </c>
    </row>
    <row r="14" ht="14.25" customHeight="1" s="104">
      <c r="I14" s="142" t="inlineStr">
        <is>
          <t>HR and IT Managers</t>
        </is>
      </c>
      <c r="J14" s="163" t="n"/>
      <c r="K14" s="189" t="n">
        <v>1</v>
      </c>
      <c r="L14" s="190" t="n">
        <v>1</v>
      </c>
    </row>
    <row r="15" ht="14.25" customHeight="1" s="104">
      <c r="I15" s="142" t="inlineStr">
        <is>
          <t>Infrastructure and Networks Manager</t>
        </is>
      </c>
      <c r="J15" s="163" t="n">
        <v>1</v>
      </c>
      <c r="K15" s="189" t="n"/>
      <c r="L15" s="190" t="n">
        <v>1</v>
      </c>
      <c r="R15" s="138" t="inlineStr">
        <is>
          <t>Risk Level</t>
        </is>
      </c>
      <c r="S15" s="139" t="inlineStr">
        <is>
          <t>Sum of Treatment Cost</t>
        </is>
      </c>
    </row>
    <row r="16" ht="14.25" customHeight="1" s="104">
      <c r="I16" s="142" t="inlineStr">
        <is>
          <t>IT Manager</t>
        </is>
      </c>
      <c r="J16" s="163" t="n">
        <v>3</v>
      </c>
      <c r="K16" s="189" t="n"/>
      <c r="L16" s="190" t="n">
        <v>3</v>
      </c>
      <c r="R16" s="140" t="inlineStr">
        <is>
          <t xml:space="preserve"> HIGH</t>
        </is>
      </c>
      <c r="S16" s="167" t="n">
        <v>0</v>
      </c>
    </row>
    <row r="17" ht="14.25" customHeight="1" s="104">
      <c r="I17" s="142" t="inlineStr">
        <is>
          <t>Network Manager</t>
        </is>
      </c>
      <c r="J17" s="163" t="n">
        <v>2</v>
      </c>
      <c r="K17" s="189" t="n"/>
      <c r="L17" s="190" t="n">
        <v>2</v>
      </c>
      <c r="R17" s="142" t="inlineStr">
        <is>
          <t xml:space="preserve"> MEDIUM</t>
        </is>
      </c>
      <c r="S17" s="196" t="n">
        <v>0</v>
      </c>
    </row>
    <row r="18" ht="14.25" customHeight="1" s="104">
      <c r="E18" s="179" t="n"/>
      <c r="F18" s="179" t="n"/>
      <c r="G18" s="179" t="n"/>
      <c r="I18" s="142" t="inlineStr">
        <is>
          <t>SOC Manager</t>
        </is>
      </c>
      <c r="J18" s="163" t="n">
        <v>1</v>
      </c>
      <c r="K18" s="189" t="n"/>
      <c r="L18" s="190" t="n">
        <v>1</v>
      </c>
      <c r="R18" s="187" t="inlineStr">
        <is>
          <t>Total Result</t>
        </is>
      </c>
      <c r="S18" s="197" t="n">
        <v>0</v>
      </c>
    </row>
    <row r="19" ht="14.25" customHeight="1" s="104">
      <c r="I19" s="142" t="inlineStr">
        <is>
          <t>Software Development Manager</t>
        </is>
      </c>
      <c r="J19" s="191" t="n">
        <v>1</v>
      </c>
      <c r="K19" s="192" t="n"/>
      <c r="L19" s="193" t="n">
        <v>1</v>
      </c>
    </row>
    <row r="20" ht="14.25" customHeight="1" s="104">
      <c r="I20" s="187" t="inlineStr">
        <is>
          <t>Total Result</t>
        </is>
      </c>
      <c r="J20" s="194" t="n">
        <v>19</v>
      </c>
      <c r="K20" s="195" t="n">
        <v>1</v>
      </c>
      <c r="L20" s="188" t="n">
        <v>20</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Al-Afaq Digital Bank</dc:creator>
  <dc:title xmlns:dc="http://purl.org/dc/elements/1.1/">Al-Afaq Digital Bank ISMS Documentation</dc:title>
  <dc:language xmlns:dc="http://purl.org/dc/elements/1.1/">en-US</dc:language>
  <dcterms:created xmlns:dcterms="http://purl.org/dc/terms/" xmlns:xsi="http://www.w3.org/2001/XMLSchema-instance" xsi:type="dcterms:W3CDTF">2015-06-05T18:17:20Z</dcterms:created>
  <dcterms:modified xmlns:dcterms="http://purl.org/dc/terms/" xmlns:xsi="http://www.w3.org/2001/XMLSchema-instance" xsi:type="dcterms:W3CDTF">2026-09-20T23:44:55Z</dcterms:modified>
  <cp:revision>1</cp:revision>
  <cp:lastPrinted>2021-04-08T15:32:27Z</cp:lastPrinted>
</cp:coreProperties>
</file>

<file path=docProps/custom.xml><?xml version="1.0" encoding="utf-8"?>
<Properties xmlns="http://schemas.openxmlformats.org/officeDocument/2006/custom-properties">
  <property name="ComplianceAssetId" fmtid="{D5CDD505-2E9C-101B-9397-08002B2CF9AE}" pid="2">
    <vt:lpwstr xmlns:vt="http://schemas.openxmlformats.org/officeDocument/2006/docPropsVTypes"/>
  </property>
  <property name="ContentTypeId" fmtid="{D5CDD505-2E9C-101B-9397-08002B2CF9AE}" pid="3">
    <vt:lpwstr xmlns:vt="http://schemas.openxmlformats.org/officeDocument/2006/docPropsVTypes">0x010100DA843292D49187418BD21D9C97EA6F65</vt:lpwstr>
  </property>
  <property name="MediaServiceImageTags" fmtid="{D5CDD505-2E9C-101B-9397-08002B2CF9AE}" pid="4">
    <vt:lpwstr xmlns:vt="http://schemas.openxmlformats.org/officeDocument/2006/docPropsVTypes"/>
  </property>
  <property name="Order" fmtid="{D5CDD505-2E9C-101B-9397-08002B2CF9AE}" pid="5">
    <vt:r8 xmlns:vt="http://schemas.openxmlformats.org/officeDocument/2006/docPropsVTypes">1274300</vt:r8>
  </property>
  <property name="TriggerFlowInfo" fmtid="{D5CDD505-2E9C-101B-9397-08002B2CF9AE}" pid="6">
    <vt:lpwstr xmlns:vt="http://schemas.openxmlformats.org/officeDocument/2006/docPropsVTypes"/>
  </property>
  <property name="_ExtendedDescription" fmtid="{D5CDD505-2E9C-101B-9397-08002B2CF9AE}" pid="7">
    <vt:lpwstr xmlns:vt="http://schemas.openxmlformats.org/officeDocument/2006/docPropsVTypes"/>
  </property>
</Properties>
</file>